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iqu\Downloads\"/>
    </mc:Choice>
  </mc:AlternateContent>
  <xr:revisionPtr revIDLastSave="0" documentId="13_ncr:1_{732B9551-9DF8-48C2-BF89-7B83F9F1B741}" xr6:coauthVersionLast="47" xr6:coauthVersionMax="47" xr10:uidLastSave="{00000000-0000-0000-0000-000000000000}"/>
  <bookViews>
    <workbookView xWindow="-120" yWindow="-120" windowWidth="38640" windowHeight="21120" firstSheet="5" activeTab="24" xr2:uid="{00000000-000D-0000-FFFF-FFFF00000000}"/>
  </bookViews>
  <sheets>
    <sheet name="Guideline" sheetId="1" r:id="rId1"/>
    <sheet name="Cover" sheetId="2" r:id="rId2"/>
    <sheet name="Functions" sheetId="3" r:id="rId3"/>
    <sheet name="Statistics" sheetId="4" r:id="rId4"/>
    <sheet name="Example" sheetId="8" r:id="rId5"/>
    <sheet name="UT-01" sheetId="5" r:id="rId6"/>
    <sheet name="UT-02" sheetId="6" r:id="rId7"/>
    <sheet name="UT-03" sheetId="7" r:id="rId8"/>
    <sheet name="UT-04" sheetId="9" r:id="rId9"/>
    <sheet name="UT-05" sheetId="10" r:id="rId10"/>
    <sheet name="UT-06" sheetId="11" r:id="rId11"/>
    <sheet name="UT-07" sheetId="12" r:id="rId12"/>
    <sheet name="UT-08" sheetId="13" r:id="rId13"/>
    <sheet name="UT-09" sheetId="14" r:id="rId14"/>
    <sheet name="UT-10" sheetId="15" r:id="rId15"/>
    <sheet name="UT-11" sheetId="16" r:id="rId16"/>
    <sheet name="UT-12" sheetId="17" r:id="rId17"/>
    <sheet name="UT-13" sheetId="18" r:id="rId18"/>
    <sheet name="UT-14" sheetId="19" r:id="rId19"/>
    <sheet name="UT-15" sheetId="20" r:id="rId20"/>
    <sheet name="UT-16" sheetId="21" r:id="rId21"/>
    <sheet name="UT-17" sheetId="22" r:id="rId22"/>
    <sheet name="UT-18" sheetId="23" r:id="rId23"/>
    <sheet name="UT-19" sheetId="24" r:id="rId24"/>
    <sheet name="Source evidence" sheetId="25" r:id="rId25"/>
  </sheets>
  <definedNames>
    <definedName name="ACTION">#REF!</definedName>
    <definedName name="Z_2C0D9096_8D85_462A_A9B5_0B488ADB4269__wvu_Cols" localSheetId="5">'UT-01'!$E:$E</definedName>
    <definedName name="Z_2C0D9096_8D85_462A_A9B5_0B488ADB4269__wvu_Cols" localSheetId="6">'UT-02'!$E:$E</definedName>
    <definedName name="Z_2C0D9096_8D85_462A_A9B5_0B488ADB4269__wvu_Cols" localSheetId="7">'UT-03'!$E:$E</definedName>
    <definedName name="Z_2C0D9096_8D85_462A_A9B5_0B488ADB4269__wvu_PrintArea" localSheetId="3">Statistics!$A:$I</definedName>
    <definedName name="Z_6F1DCD5D_5DAC_4817_BF40_2B66F6F593E6__wvu_Cols" localSheetId="5">'UT-01'!$E:$E</definedName>
    <definedName name="Z_6F1DCD5D_5DAC_4817_BF40_2B66F6F593E6__wvu_Cols" localSheetId="6">'UT-02'!$E:$E</definedName>
    <definedName name="Z_6F1DCD5D_5DAC_4817_BF40_2B66F6F593E6__wvu_Cols" localSheetId="7">'UT-03'!$E:$E</definedName>
    <definedName name="Z_6F1DCD5D_5DAC_4817_BF40_2B66F6F593E6__wvu_PrintArea" localSheetId="3">Statistics!$A:$I</definedName>
    <definedName name="Z_BE54E0AD_3725_4423_92D7_4F1C045BE1BC__wvu_Cols" localSheetId="5">'UT-01'!$E:$E</definedName>
    <definedName name="Z_BE54E0AD_3725_4423_92D7_4F1C045BE1BC__wvu_Cols" localSheetId="6">'UT-02'!$E:$E</definedName>
    <definedName name="Z_BE54E0AD_3725_4423_92D7_4F1C045BE1BC__wvu_Cols" localSheetId="7">'UT-03'!$E:$E</definedName>
    <definedName name="Z_BE54E0AD_3725_4423_92D7_4F1C045BE1BC__wvu_PrintArea" localSheetId="3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4" l="1"/>
  <c r="N7" i="24"/>
  <c r="H30" i="4" s="1"/>
  <c r="M7" i="24"/>
  <c r="L7" i="24"/>
  <c r="C7" i="24"/>
  <c r="D30" i="4" s="1"/>
  <c r="A7" i="24"/>
  <c r="L4" i="24"/>
  <c r="L2" i="24"/>
  <c r="C2" i="24"/>
  <c r="O7" i="23"/>
  <c r="N7" i="23"/>
  <c r="M7" i="23"/>
  <c r="L7" i="23"/>
  <c r="C7" i="23"/>
  <c r="A7" i="23"/>
  <c r="F7" i="23" s="1"/>
  <c r="E29" i="4" s="1"/>
  <c r="L4" i="23"/>
  <c r="L2" i="23"/>
  <c r="C2" i="23"/>
  <c r="O7" i="22"/>
  <c r="I28" i="4" s="1"/>
  <c r="N7" i="22"/>
  <c r="H28" i="4" s="1"/>
  <c r="M7" i="22"/>
  <c r="G28" i="4" s="1"/>
  <c r="L7" i="22"/>
  <c r="F28" i="4" s="1"/>
  <c r="C7" i="22"/>
  <c r="D28" i="4" s="1"/>
  <c r="A7" i="22"/>
  <c r="L4" i="22"/>
  <c r="L2" i="22"/>
  <c r="C2" i="22"/>
  <c r="O7" i="21"/>
  <c r="I27" i="4" s="1"/>
  <c r="N7" i="21"/>
  <c r="H27" i="4" s="1"/>
  <c r="M7" i="21"/>
  <c r="G27" i="4" s="1"/>
  <c r="L7" i="21"/>
  <c r="F27" i="4" s="1"/>
  <c r="C7" i="21"/>
  <c r="D27" i="4" s="1"/>
  <c r="A7" i="21"/>
  <c r="L4" i="21"/>
  <c r="L2" i="21"/>
  <c r="C2" i="21"/>
  <c r="O7" i="20"/>
  <c r="I26" i="4" s="1"/>
  <c r="N7" i="20"/>
  <c r="H26" i="4" s="1"/>
  <c r="M7" i="20"/>
  <c r="G26" i="4" s="1"/>
  <c r="L7" i="20"/>
  <c r="F26" i="4" s="1"/>
  <c r="C7" i="20"/>
  <c r="D26" i="4" s="1"/>
  <c r="A7" i="20"/>
  <c r="L4" i="20"/>
  <c r="L2" i="20"/>
  <c r="C2" i="20"/>
  <c r="O7" i="19"/>
  <c r="I25" i="4" s="1"/>
  <c r="N7" i="19"/>
  <c r="H25" i="4" s="1"/>
  <c r="M7" i="19"/>
  <c r="G25" i="4" s="1"/>
  <c r="L7" i="19"/>
  <c r="F25" i="4" s="1"/>
  <c r="C7" i="19"/>
  <c r="D25" i="4" s="1"/>
  <c r="A7" i="19"/>
  <c r="L4" i="19"/>
  <c r="L2" i="19"/>
  <c r="C2" i="19"/>
  <c r="O7" i="18"/>
  <c r="N7" i="18"/>
  <c r="H24" i="4" s="1"/>
  <c r="M7" i="18"/>
  <c r="G24" i="4" s="1"/>
  <c r="L7" i="18"/>
  <c r="F24" i="4" s="1"/>
  <c r="C7" i="18"/>
  <c r="D24" i="4" s="1"/>
  <c r="A7" i="18"/>
  <c r="C24" i="4" s="1"/>
  <c r="L4" i="18"/>
  <c r="L2" i="18"/>
  <c r="C2" i="18"/>
  <c r="O7" i="17"/>
  <c r="I23" i="4" s="1"/>
  <c r="N7" i="17"/>
  <c r="H23" i="4" s="1"/>
  <c r="M7" i="17"/>
  <c r="G23" i="4" s="1"/>
  <c r="L7" i="17"/>
  <c r="F23" i="4" s="1"/>
  <c r="C7" i="17"/>
  <c r="D23" i="4" s="1"/>
  <c r="A7" i="17"/>
  <c r="L4" i="17"/>
  <c r="L2" i="17"/>
  <c r="C2" i="17"/>
  <c r="O7" i="16"/>
  <c r="I22" i="4" s="1"/>
  <c r="N7" i="16"/>
  <c r="H22" i="4" s="1"/>
  <c r="M7" i="16"/>
  <c r="G22" i="4" s="1"/>
  <c r="L7" i="16"/>
  <c r="F22" i="4" s="1"/>
  <c r="C7" i="16"/>
  <c r="D22" i="4" s="1"/>
  <c r="A7" i="16"/>
  <c r="L4" i="16"/>
  <c r="L2" i="16"/>
  <c r="C2" i="16"/>
  <c r="O7" i="15"/>
  <c r="I21" i="4" s="1"/>
  <c r="N7" i="15"/>
  <c r="H21" i="4" s="1"/>
  <c r="M7" i="15"/>
  <c r="G21" i="4" s="1"/>
  <c r="L7" i="15"/>
  <c r="F21" i="4" s="1"/>
  <c r="C7" i="15"/>
  <c r="A7" i="15"/>
  <c r="C21" i="4" s="1"/>
  <c r="L4" i="15"/>
  <c r="L2" i="15"/>
  <c r="C2" i="15"/>
  <c r="O7" i="14"/>
  <c r="I20" i="4" s="1"/>
  <c r="N7" i="14"/>
  <c r="H20" i="4" s="1"/>
  <c r="M7" i="14"/>
  <c r="G20" i="4" s="1"/>
  <c r="L7" i="14"/>
  <c r="F20" i="4" s="1"/>
  <c r="C7" i="14"/>
  <c r="D20" i="4" s="1"/>
  <c r="A7" i="14"/>
  <c r="L4" i="14"/>
  <c r="L2" i="14"/>
  <c r="C2" i="14"/>
  <c r="O7" i="13"/>
  <c r="I19" i="4" s="1"/>
  <c r="N7" i="13"/>
  <c r="H19" i="4" s="1"/>
  <c r="M7" i="13"/>
  <c r="G19" i="4" s="1"/>
  <c r="L7" i="13"/>
  <c r="F19" i="4" s="1"/>
  <c r="C7" i="13"/>
  <c r="D19" i="4" s="1"/>
  <c r="A7" i="13"/>
  <c r="L4" i="13"/>
  <c r="L2" i="13"/>
  <c r="C2" i="13"/>
  <c r="O7" i="12"/>
  <c r="I18" i="4" s="1"/>
  <c r="N7" i="12"/>
  <c r="H18" i="4" s="1"/>
  <c r="M7" i="12"/>
  <c r="G18" i="4" s="1"/>
  <c r="L7" i="12"/>
  <c r="F18" i="4" s="1"/>
  <c r="C7" i="12"/>
  <c r="D18" i="4" s="1"/>
  <c r="A7" i="12"/>
  <c r="L4" i="12"/>
  <c r="L2" i="12"/>
  <c r="C2" i="12"/>
  <c r="O7" i="11"/>
  <c r="I17" i="4" s="1"/>
  <c r="N7" i="11"/>
  <c r="H17" i="4" s="1"/>
  <c r="M7" i="11"/>
  <c r="G17" i="4" s="1"/>
  <c r="L7" i="11"/>
  <c r="F17" i="4" s="1"/>
  <c r="C7" i="11"/>
  <c r="D17" i="4" s="1"/>
  <c r="A7" i="11"/>
  <c r="L4" i="11"/>
  <c r="L2" i="11"/>
  <c r="C2" i="11"/>
  <c r="O7" i="10"/>
  <c r="I16" i="4" s="1"/>
  <c r="N7" i="10"/>
  <c r="H16" i="4" s="1"/>
  <c r="M7" i="10"/>
  <c r="G16" i="4" s="1"/>
  <c r="L7" i="10"/>
  <c r="F16" i="4" s="1"/>
  <c r="C7" i="10"/>
  <c r="D16" i="4" s="1"/>
  <c r="A7" i="10"/>
  <c r="L4" i="10"/>
  <c r="L2" i="10"/>
  <c r="C2" i="10"/>
  <c r="O7" i="9"/>
  <c r="I15" i="4" s="1"/>
  <c r="N7" i="9"/>
  <c r="H15" i="4" s="1"/>
  <c r="M7" i="9"/>
  <c r="G15" i="4" s="1"/>
  <c r="L7" i="9"/>
  <c r="F15" i="4" s="1"/>
  <c r="C7" i="9"/>
  <c r="D15" i="4" s="1"/>
  <c r="A7" i="9"/>
  <c r="L4" i="9"/>
  <c r="L2" i="9"/>
  <c r="C2" i="9"/>
  <c r="O7" i="8"/>
  <c r="N7" i="8"/>
  <c r="M7" i="8"/>
  <c r="L7" i="8"/>
  <c r="C7" i="8"/>
  <c r="A7" i="8"/>
  <c r="F7" i="8" s="1"/>
  <c r="L4" i="8"/>
  <c r="O7" i="7"/>
  <c r="I14" i="4" s="1"/>
  <c r="N7" i="7"/>
  <c r="H14" i="4" s="1"/>
  <c r="M7" i="7"/>
  <c r="G14" i="4" s="1"/>
  <c r="L7" i="7"/>
  <c r="F14" i="4" s="1"/>
  <c r="C7" i="7"/>
  <c r="D14" i="4" s="1"/>
  <c r="A7" i="7"/>
  <c r="L4" i="7"/>
  <c r="L2" i="7"/>
  <c r="C2" i="7"/>
  <c r="O7" i="6"/>
  <c r="N7" i="6"/>
  <c r="H13" i="4" s="1"/>
  <c r="M7" i="6"/>
  <c r="G13" i="4" s="1"/>
  <c r="L7" i="6"/>
  <c r="F13" i="4" s="1"/>
  <c r="C7" i="6"/>
  <c r="D13" i="4" s="1"/>
  <c r="A7" i="6"/>
  <c r="C13" i="4" s="1"/>
  <c r="L4" i="6"/>
  <c r="L2" i="6"/>
  <c r="C2" i="6"/>
  <c r="O7" i="5"/>
  <c r="I12" i="4" s="1"/>
  <c r="N7" i="5"/>
  <c r="H12" i="4" s="1"/>
  <c r="M7" i="5"/>
  <c r="G12" i="4" s="1"/>
  <c r="G33" i="4" s="1"/>
  <c r="L7" i="5"/>
  <c r="F12" i="4" s="1"/>
  <c r="F33" i="4" s="1"/>
  <c r="C7" i="5"/>
  <c r="D12" i="4" s="1"/>
  <c r="A7" i="5"/>
  <c r="L4" i="5"/>
  <c r="L2" i="5"/>
  <c r="C2" i="5"/>
  <c r="I30" i="4"/>
  <c r="G30" i="4"/>
  <c r="F30" i="4"/>
  <c r="B30" i="4"/>
  <c r="I29" i="4"/>
  <c r="H29" i="4"/>
  <c r="G29" i="4"/>
  <c r="F29" i="4"/>
  <c r="D29" i="4"/>
  <c r="C29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7" i="24" l="1"/>
  <c r="E30" i="4" s="1"/>
  <c r="C30" i="4"/>
  <c r="F7" i="22"/>
  <c r="E28" i="4" s="1"/>
  <c r="C28" i="4"/>
  <c r="C27" i="4"/>
  <c r="F7" i="21"/>
  <c r="E27" i="4" s="1"/>
  <c r="C26" i="4"/>
  <c r="F7" i="20"/>
  <c r="E26" i="4" s="1"/>
  <c r="C25" i="4"/>
  <c r="F7" i="19"/>
  <c r="E25" i="4" s="1"/>
  <c r="I24" i="4"/>
  <c r="F7" i="18"/>
  <c r="E24" i="4" s="1"/>
  <c r="F7" i="17"/>
  <c r="E23" i="4" s="1"/>
  <c r="C23" i="4"/>
  <c r="F7" i="16"/>
  <c r="E22" i="4" s="1"/>
  <c r="C22" i="4"/>
  <c r="F7" i="15"/>
  <c r="E21" i="4" s="1"/>
  <c r="D21" i="4"/>
  <c r="D33" i="4" s="1"/>
  <c r="N13" i="4" s="1"/>
  <c r="F7" i="14"/>
  <c r="E20" i="4" s="1"/>
  <c r="C20" i="4"/>
  <c r="F7" i="13"/>
  <c r="E19" i="4" s="1"/>
  <c r="C19" i="4"/>
  <c r="F7" i="12"/>
  <c r="E18" i="4" s="1"/>
  <c r="C18" i="4"/>
  <c r="F7" i="11"/>
  <c r="E17" i="4" s="1"/>
  <c r="C17" i="4"/>
  <c r="C16" i="4"/>
  <c r="F7" i="10"/>
  <c r="E16" i="4" s="1"/>
  <c r="F7" i="9"/>
  <c r="E15" i="4" s="1"/>
  <c r="C15" i="4"/>
  <c r="F7" i="7"/>
  <c r="E14" i="4" s="1"/>
  <c r="C14" i="4"/>
  <c r="F7" i="6"/>
  <c r="E13" i="4" s="1"/>
  <c r="I13" i="4"/>
  <c r="L13" i="4"/>
  <c r="L12" i="4"/>
  <c r="C12" i="4"/>
  <c r="F7" i="5"/>
  <c r="E12" i="4" s="1"/>
  <c r="H33" i="4"/>
  <c r="L14" i="4" l="1"/>
  <c r="I33" i="4"/>
  <c r="D39" i="4" s="1"/>
  <c r="C33" i="4"/>
  <c r="E33" i="4"/>
  <c r="N14" i="4" s="1"/>
  <c r="D37" i="4" l="1"/>
  <c r="D38" i="4"/>
  <c r="N12" i="4"/>
  <c r="D36" i="4"/>
  <c r="D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100-000001000000}">
      <text>
        <r>
          <rPr>
            <sz val="10"/>
            <rFont val="Arial"/>
            <family val="2"/>
          </rPr>
          <t>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700-000001000000}">
      <text>
        <r>
          <rPr>
            <sz val="10"/>
            <rFont val="Arial"/>
            <family val="2"/>
          </rPr>
          <t>Not mandatory</t>
        </r>
      </text>
    </comment>
    <comment ref="C10" authorId="0" shapeId="0" xr:uid="{00000000-0006-0000-0700-000002000000}">
      <text>
        <r>
          <rPr>
            <sz val="10"/>
            <rFont val="Arial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400-000001000000}">
      <text>
        <r>
          <rPr>
            <sz val="10"/>
            <rFont val="Arial"/>
            <family val="2"/>
          </rPr>
          <t>Not mandatory</t>
        </r>
      </text>
    </comment>
    <comment ref="C10" authorId="0" shapeId="0" xr:uid="{00000000-0006-0000-0400-000002000000}">
      <text>
        <r>
          <rPr>
            <sz val="10"/>
            <rFont val="Arial"/>
            <family val="2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500-000001000000}">
      <text>
        <r>
          <rPr>
            <sz val="10"/>
            <rFont val="Arial"/>
            <family val="2"/>
          </rPr>
          <t>Not mandatory</t>
        </r>
      </text>
    </comment>
    <comment ref="C10" authorId="0" shapeId="0" xr:uid="{00000000-0006-0000-0500-000002000000}">
      <text>
        <r>
          <rPr>
            <sz val="10"/>
            <rFont val="Arial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600-000001000000}">
      <text>
        <r>
          <rPr>
            <sz val="10"/>
            <rFont val="Arial"/>
            <family val="2"/>
          </rPr>
          <t>Not mandatory</t>
        </r>
      </text>
    </comment>
    <comment ref="C10" authorId="0" shapeId="0" xr:uid="{00000000-0006-0000-0600-000002000000}">
      <text>
        <r>
          <rPr>
            <sz val="10"/>
            <rFont val="Arial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<sst xmlns="http://schemas.openxmlformats.org/spreadsheetml/2006/main" count="4955" uniqueCount="1378">
  <si>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</si>
  <si>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</si>
  <si>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</si>
  <si>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sz val="10"/>
        <rFont val="Tahoma"/>
        <family val="2"/>
      </rP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</si>
  <si>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rPr>
        <sz val="10"/>
        <rFont val="Tahoma"/>
        <family val="2"/>
      </rP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</si>
  <si>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sz val="10"/>
        <rFont val="Tahoma"/>
        <family val="2"/>
      </rP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</si>
  <si>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rPr>
        <sz val="10"/>
        <rFont val="Tahoma"/>
        <family val="2"/>
      </rP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</si>
  <si>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</si>
  <si>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</si>
  <si>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</si>
  <si>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</si>
  <si>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</si>
  <si>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</si>
  <si>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</si>
  <si>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</si>
  <si>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</si>
  <si>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</si>
  <si>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</si>
  <si>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</si>
  <si>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</si>
  <si>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</si>
  <si>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</si>
  <si>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</si>
  <si>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</si>
  <si>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</si>
  <si>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</si>
  <si>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</si>
  <si>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</si>
  <si>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</si>
  <si>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</si>
  <si>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</si>
  <si>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</si>
  <si>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</si>
  <si>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</si>
  <si>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</si>
  <si>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</si>
  <si>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sz val="10"/>
        <rFont val="Tahoma"/>
        <family val="2"/>
      </rP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</si>
  <si>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</si>
  <si>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</si>
  <si>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</si>
  <si>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</si>
  <si>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</si>
  <si>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</si>
  <si>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</si>
  <si>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</si>
  <si>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</si>
  <si>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</si>
  <si>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Arden Enterprise Knowledge Platform</t>
  </si>
  <si>
    <t>Creator</t>
  </si>
  <si>
    <t>Arden team (assignment pending)</t>
  </si>
  <si>
    <t>Project Code</t>
  </si>
  <si>
    <t>ARDEN</t>
  </si>
  <si>
    <t>Issue Date</t>
  </si>
  <si>
    <t>Document Code</t>
  </si>
  <si>
    <t>ARDEN_UT_v1.2</t>
  </si>
  <si>
    <t>Version</t>
  </si>
  <si>
    <t>1.2</t>
  </si>
  <si>
    <t>Record of change</t>
  </si>
  <si>
    <t>Effective Date</t>
  </si>
  <si>
    <t>Change Item</t>
  </si>
  <si>
    <t>*A,D,M</t>
  </si>
  <si>
    <t>Change description</t>
  </si>
  <si>
    <t>Reference</t>
  </si>
  <si>
    <t>Unit test cases</t>
  </si>
  <si>
    <t>M</t>
  </si>
  <si>
    <t>Function List</t>
  </si>
  <si>
    <t xml:space="preserve">Normal number of Test cases/KLOC </t>
  </si>
  <si>
    <t>N/A</t>
  </si>
  <si>
    <t>Test Environment Setup Description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</si>
  <si>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</si>
  <si>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</si>
  <si>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</si>
  <si>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</si>
  <si>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</si>
  <si>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</si>
  <si>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</si>
  <si>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</si>
  <si>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Verify active publication audience and member</t>
  </si>
  <si>
    <t>Core knowledge policy</t>
  </si>
  <si>
    <t>canReadPublication</t>
  </si>
  <si>
    <t>UT-001</t>
  </si>
  <si>
    <t>8 concrete test conditions; source apps/api/src/knowledge/policy.test.ts</t>
  </si>
  <si>
    <t>ACTIVE org, CURRENT publication, fixed time; modify one permission fact per case.</t>
  </si>
  <si>
    <t xml:space="preserve">Enforce live ReviewerGrant and administrator </t>
  </si>
  <si>
    <t>canReviewSnapshot</t>
  </si>
  <si>
    <t>UT-002</t>
  </si>
  <si>
    <t>7 concrete test conditions; source apps/api/src/knowledge/policy.test.ts</t>
  </si>
  <si>
    <t>Active organization reviewer facts, controlled classification and scope.</t>
  </si>
  <si>
    <t>Submit only immutable and valid governed snap</t>
  </si>
  <si>
    <t>canSubmitSnapshot</t>
  </si>
  <si>
    <t>UT-003</t>
  </si>
  <si>
    <t>Draft, author membership, responsible department, selected audience.</t>
  </si>
  <si>
    <t xml:space="preserve">Authorize approval, reject stale content and </t>
  </si>
  <si>
    <t>Core review decision</t>
  </si>
  <si>
    <t>planReviewDecision</t>
  </si>
  <si>
    <t>UT-004</t>
  </si>
  <si>
    <t>7 concrete test conditions; source apps/api/src/knowledge/review-decision.test.ts</t>
  </si>
  <si>
    <t>Fixed review facts, submission snapshot hash, active reviewer grant.</t>
  </si>
  <si>
    <t>Show only reviewable pending work and preserv</t>
  </si>
  <si>
    <t>Core review queue</t>
  </si>
  <si>
    <t>authorizedReviewQueue</t>
  </si>
  <si>
    <t>UT-005</t>
  </si>
  <si>
    <t>8 concrete test conditions; source apps/api/src/knowledge/review-queue.test.ts</t>
  </si>
  <si>
    <t>Pending submissions, live member/grant data and stable ordering.</t>
  </si>
  <si>
    <t>Verify index job lease, payload, activation a</t>
  </si>
  <si>
    <t>Core indexing worker</t>
  </si>
  <si>
    <t>IndexingWorker.runOnce</t>
  </si>
  <si>
    <t>UT-006</t>
  </si>
  <si>
    <t>6 concrete test conditions; source apps/api/src/indexing/worker.test.ts</t>
  </si>
  <si>
    <t>Isolated fake claim store, snapshot, worker client and completion callbacks.</t>
  </si>
  <si>
    <t>Maintain opaque URI, integrity hashes and raw</t>
  </si>
  <si>
    <t>Private content storage</t>
  </si>
  <si>
    <t>LocalPrivateContentStorage</t>
  </si>
  <si>
    <t>UT-007</t>
  </si>
  <si>
    <t>6 concrete test conditions; source apps/api/src/private-notes/content-storage.test.ts</t>
  </si>
  <si>
    <t>Temporary isolated storage root; no production objects.</t>
  </si>
  <si>
    <t>Allow only bounded API routes, methods and id</t>
  </si>
  <si>
    <t>Electron main process</t>
  </si>
  <si>
    <t>apiRequestPolicy</t>
  </si>
  <si>
    <t>UT-008</t>
  </si>
  <si>
    <t>7 concrete test conditions; source apps/desktop/src/main/apiRequestPolicy.test.ts</t>
  </si>
  <si>
    <t>Desktop request policy fixture; bounded payload and route list.</t>
  </si>
  <si>
    <t>Preserve canonical IDs, text formatting and s</t>
  </si>
  <si>
    <t>Shared domain</t>
  </si>
  <si>
    <t>SemanticDocument v1 parser</t>
  </si>
  <si>
    <t>UT-009</t>
  </si>
  <si>
    <t>7 concrete test conditions; source packages/domain/src/semantic-document.test.ts</t>
  </si>
  <si>
    <t>Canonical schema v1 document, serializer and parser.</t>
  </si>
  <si>
    <t>Keep unsaved drafts isolated and avoid uninte</t>
  </si>
  <si>
    <t>UI note draft model</t>
  </si>
  <si>
    <t>notePreviewReducer</t>
  </si>
  <si>
    <t>UT-010</t>
  </si>
  <si>
    <t>8 concrete test conditions; source packages/ui/tests/noteDraftModel.test.ts</t>
  </si>
  <si>
    <t>Sample saved notes, reducer actions and local draft state.</t>
  </si>
  <si>
    <t>Apply invitation expiry, status and counting/</t>
  </si>
  <si>
    <t>UI organization</t>
  </si>
  <si>
    <t>invitationState / visibleInvitations</t>
  </si>
  <si>
    <t>UT-011</t>
  </si>
  <si>
    <t>5 concrete test conditions; source packages/ui/tests/invitationStatus.test.ts</t>
  </si>
  <si>
    <t>Fixed now 2026-10-23, invitation fixtures.</t>
  </si>
  <si>
    <t>Reject nonallowed generation and ungrounded c</t>
  </si>
  <si>
    <t>Arden-AI answering</t>
  </si>
  <si>
    <t>PermissionAwareAnswerer.answer</t>
  </si>
  <si>
    <t>UT-012</t>
  </si>
  <si>
    <t>3 concrete test conditions; source tests/test_answering.py</t>
  </si>
  <si>
    <t>Fake retriever/generator, UUID allowlist, MFA evidence.</t>
  </si>
  <si>
    <t>Preserve chunk offsets, parent section and to</t>
  </si>
  <si>
    <t>Arden-AI domain</t>
  </si>
  <si>
    <t>chunk_markdown</t>
  </si>
  <si>
    <t>UT-013</t>
  </si>
  <si>
    <t>2 concrete test conditions; source tests/test_chunking.py</t>
  </si>
  <si>
    <t>Compiled semantic document with long security section.</t>
  </si>
  <si>
    <t>Validate strict generation payload, hash, PDF</t>
  </si>
  <si>
    <t>Arden-AI contract</t>
  </si>
  <si>
    <t>IndexGenerationRequest</t>
  </si>
  <si>
    <t>UT-014</t>
  </si>
  <si>
    <t>6 concrete test conditions; source tests/test_contracts.py</t>
  </si>
  <si>
    <t>Versioned camelCase indexing request with stable UUIDs.</t>
  </si>
  <si>
    <t>Resolve PDF page from cited block or fallback</t>
  </si>
  <si>
    <t>Core answer citation</t>
  </si>
  <si>
    <t>citationPageForSource</t>
  </si>
  <si>
    <t>UT-015</t>
  </si>
  <si>
    <t>3 concrete test conditions; source apps/api/src/answers/citation-page.test.ts</t>
  </si>
  <si>
    <t>Cited semantic source blocks and optional parent reference.</t>
  </si>
  <si>
    <t>Filter managed audience by scope and disallow</t>
  </si>
  <si>
    <t>UI knowledge audience</t>
  </si>
  <si>
    <t>knowledgeAudience selection</t>
  </si>
  <si>
    <t>UT-016</t>
  </si>
  <si>
    <t>3 concrete test conditions; source packages/ui/tests/knowledgeAudience.test.ts</t>
  </si>
  <si>
    <t>Org and department audience fixtures plus selected scope.</t>
  </si>
  <si>
    <t>Constrain synthetic account, DB target and re</t>
  </si>
  <si>
    <t>Local test authentication</t>
  </si>
  <si>
    <t>LocalFlow1TestAuthProvider</t>
  </si>
  <si>
    <t>UT-017</t>
  </si>
  <si>
    <t>6 concrete test conditions; source apps/api/src/auth/local-flow1-test.test.ts</t>
  </si>
  <si>
    <t>Isolated loopback test DB; example.test fixtures only.</t>
  </si>
  <si>
    <t>Use correct citation page and safe download n</t>
  </si>
  <si>
    <t>UI PDF preview</t>
  </si>
  <si>
    <t>PDF viewer identity</t>
  </si>
  <si>
    <t>UT-018</t>
  </si>
  <si>
    <t>2 concrete test conditions; source packages/ui/tests/pdfDocument.test.ts</t>
  </si>
  <si>
    <t>Synthetic PDF id, citation page and document metadata.</t>
  </si>
  <si>
    <t>Validate digest, snapshot identity and strict</t>
  </si>
  <si>
    <t>Core indexing contract</t>
  </si>
  <si>
    <t>IndexGenerationManifest validator</t>
  </si>
  <si>
    <t>UT-019</t>
  </si>
  <si>
    <t>3 concrete test conditions; source apps/api/src/indexing/contracts.test.ts</t>
  </si>
  <si>
    <t>Expected Core snapshot identity and response manifest.</t>
  </si>
  <si>
    <t>UNIT TEST REPORT</t>
  </si>
  <si>
    <t>Arden team (TBD)</t>
  </si>
  <si>
    <t>Reviewer/Approver</t>
  </si>
  <si>
    <t>TBD</t>
  </si>
  <si>
    <t>ARDEN_UT_Report_v1.2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</si>
  <si>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</si>
  <si>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</si>
  <si>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</si>
  <si>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</si>
  <si>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</si>
  <si>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</si>
  <si>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</si>
  <si>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</si>
  <si>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</si>
  <si>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Type</t>
  </si>
  <si>
    <t>Count</t>
  </si>
  <si>
    <t>Result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</si>
  <si>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</si>
  <si>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</si>
  <si>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</si>
  <si>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</si>
  <si>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</si>
  <si>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</si>
  <si>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</si>
  <si>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</si>
  <si>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</si>
  <si>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Executed By</t>
  </si>
  <si>
    <t>Lines  of code</t>
  </si>
  <si>
    <t>Lack of test cases</t>
  </si>
  <si>
    <t>Test requirement</t>
  </si>
  <si>
    <t>Verify active publication audience and member visibility.</t>
  </si>
  <si>
    <t>N/A/B</t>
  </si>
  <si>
    <t>01</t>
  </si>
  <si>
    <t>02</t>
  </si>
  <si>
    <t>03</t>
  </si>
  <si>
    <t>04</t>
  </si>
  <si>
    <t>05</t>
  </si>
  <si>
    <t>06</t>
  </si>
  <si>
    <t>07</t>
  </si>
  <si>
    <t>08</t>
  </si>
  <si>
    <t>Condition</t>
  </si>
  <si>
    <t>Precondition</t>
  </si>
  <si>
    <t>O</t>
  </si>
  <si>
    <t>Inputs / scenarios</t>
  </si>
  <si>
    <t>Confirm</t>
  </si>
  <si>
    <t>Type(N : Normal, A : Abnormal, B : Boundary)</t>
  </si>
  <si>
    <t>Passed/Failed</t>
  </si>
  <si>
    <t>Executed Date</t>
  </si>
  <si>
    <t>Defect ID</t>
  </si>
  <si>
    <t>PRECONDITION: ACTIVE org, CURRENT publication, fixed time; modify one permission fact per case.  |  SOURCE: Arden/apps/api/src/knowledge/policy.test.ts  |  SHA: 953be5418f5489f14cb01c919cb649c207637ec9</t>
  </si>
  <si>
    <t>Case ID</t>
  </si>
  <si>
    <t>Exact source test declaration</t>
  </si>
  <si>
    <t>Input / expected confirmation</t>
  </si>
  <si>
    <t>U01-01</t>
  </si>
  <si>
    <t>reads a group publication only for an active group member</t>
  </si>
  <si>
    <t>ACTIVE group member → true: readable</t>
  </si>
  <si>
    <t>U01-02</t>
  </si>
  <si>
    <t>No group membership → false: denied</t>
  </si>
  <si>
    <t>U01-03</t>
  </si>
  <si>
    <t>REVOKED group membership → false: denied</t>
  </si>
  <si>
    <t>U01-04</t>
  </si>
  <si>
    <t>SUSPENDED actor → false: denied</t>
  </si>
  <si>
    <t>U01-05</t>
  </si>
  <si>
    <t>uses the active pointer rather than legacy publication dates</t>
  </si>
  <si>
    <t>CURRENT pointer; legacy dates inverted → true: current pointer wins</t>
  </si>
  <si>
    <t>U01-06</t>
  </si>
  <si>
    <t>applies managed organization and department audiences only at their matching scope</t>
  </si>
  <si>
    <t>ORGANIZATION_ALL audience; org matches → true: readable</t>
  </si>
  <si>
    <t>U01-07</t>
  </si>
  <si>
    <t>DEPARTMENT_ALL audience; wrong department → false: denied</t>
  </si>
  <si>
    <t>U01-08</t>
  </si>
  <si>
    <t>does not turn review or administration into publication readership</t>
  </si>
  <si>
    <t>Reviewer role without reader scope → false: denied</t>
  </si>
  <si>
    <t>Enforce live ReviewerGrant and administrator exception.</t>
  </si>
  <si>
    <t>PRECONDITION: Active organization reviewer facts, controlled classification and scope.  |  SOURCE: Arden/apps/api/src/knowledge/policy.test.ts  |  SHA: 953be5418f5489f14cb01c919cb649c207637ec9</t>
  </si>
  <si>
    <t>U02-01</t>
  </si>
  <si>
    <t>uses ReviewerGrant, denies self-review, and requires specialist level for Restricted</t>
  </si>
  <si>
    <t>Ordinary reviewer with live matching grant → true: authorized</t>
  </si>
  <si>
    <t>U02-02</t>
  </si>
  <si>
    <t>Author reviews own ordinary submission → false: denied</t>
  </si>
  <si>
    <t>U02-03</t>
  </si>
  <si>
    <t>Restricted class; no specialist level → false: denied</t>
  </si>
  <si>
    <t>U02-04</t>
  </si>
  <si>
    <t>allows Organization Admin to review and self-approve without a reviewer grant</t>
  </si>
  <si>
    <t>Org Admin self-review, no grant → true: admin exception</t>
  </si>
  <si>
    <t>U02-05</t>
  </si>
  <si>
    <t>lets a department reviewer decide a department or group-limited snapshot</t>
  </si>
  <si>
    <t>Dept reviewer on own department snapshot → true: authorized</t>
  </si>
  <si>
    <t>U02-06</t>
  </si>
  <si>
    <t>rechecks expiry, tags and ordinary self-review for an organization grant</t>
  </si>
  <si>
    <t>Expired reviewer grant → false: denied</t>
  </si>
  <si>
    <t>U02-07</t>
  </si>
  <si>
    <t>keeps Organization Admin final authority from decision 0011</t>
  </si>
  <si>
    <t>Org Admin final authority → true: authorized</t>
  </si>
  <si>
    <t>Submit only immutable and valid governed snapshots.</t>
  </si>
  <si>
    <t>PRECONDITION: Draft, author membership, responsible department, selected audience.  |  SOURCE: Arden/apps/api/src/knowledge/policy.test.ts  |  SHA: 953be5418f5489f14cb01c919cb649c207637ec9</t>
  </si>
  <si>
    <t>U03-01</t>
  </si>
  <si>
    <t>submits only an immutable, enforceable audience snapshot</t>
  </si>
  <si>
    <t>Immutable snapshot and enforceable audience → true: can submit</t>
  </si>
  <si>
    <t>U03-02</t>
  </si>
  <si>
    <t>Audience is unenforceable → false: denied</t>
  </si>
  <si>
    <t>U03-03</t>
  </si>
  <si>
    <t>submits only when the responsible department is the author</t>
  </si>
  <si>
    <t>Responsible department = author department → true: can submit</t>
  </si>
  <si>
    <t>U03-04</t>
  </si>
  <si>
    <t>derives the responsible department from the author and rejects any other department (decision 0014)</t>
  </si>
  <si>
    <t>Different department chosen → false: denied</t>
  </si>
  <si>
    <t>U03-05</t>
  </si>
  <si>
    <t>uses disjoint scopes for new submissions</t>
  </si>
  <si>
    <t>Disjoint scopes in submission → true: correct scope</t>
  </si>
  <si>
    <t>U03-06</t>
  </si>
  <si>
    <t>fails closed when the breadth is not an explicit LIMITED value</t>
  </si>
  <si>
    <t>Breadth not explicitly LIMITED → false: denied</t>
  </si>
  <si>
    <t>U03-07</t>
  </si>
  <si>
    <t>keeps the transition path for legacy organization-wide submissions</t>
  </si>
  <si>
    <t>Legacy organization-wide submission → legacy transition allowed</t>
  </si>
  <si>
    <t>NOT COUNTED</t>
  </si>
  <si>
    <t>Blank template example</t>
  </si>
  <si>
    <t>Fill inputs and confirmations on Arden function sheets. No sample outcomes are project results.</t>
  </si>
  <si>
    <t xml:space="preserve">Precondition </t>
  </si>
  <si>
    <t>a</t>
  </si>
  <si>
    <t>b</t>
  </si>
  <si>
    <t>c</t>
  </si>
  <si>
    <t>Return</t>
  </si>
  <si>
    <t xml:space="preserve">list </t>
  </si>
  <si>
    <t>Exception</t>
  </si>
  <si>
    <t>Log message</t>
  </si>
  <si>
    <t>Authorize approval, reject stale content and avoid early publication.</t>
  </si>
  <si>
    <t>PRECONDITION: Fixed review facts, submission snapshot hash, active reviewer grant.  |  SOURCE: Arden/apps/api/src/knowledge/review-decision.test.ts  |  SHA: 953be5418f5489f14cb01c919cb649c207637ec9</t>
  </si>
  <si>
    <t>U04-01</t>
  </si>
  <si>
    <t>plans publication preparation only for an authorized final one-step approval</t>
  </si>
  <si>
    <t>Final authorized one-step APPROVE → publication preparation intent</t>
  </si>
  <si>
    <t>U04-02</t>
  </si>
  <si>
    <t>never publishes the wrong or corrupted snapshot</t>
  </si>
  <si>
    <t>Wrong snapshot version → DENIED: STALE_SNAPSHOT</t>
  </si>
  <si>
    <t>U04-03</t>
  </si>
  <si>
    <t>Content hash changed → DENIED: STALE_SNAPSHOT</t>
  </si>
  <si>
    <t>U04-04</t>
  </si>
  <si>
    <t>rechecks identity, active grant, department, policy and self-review</t>
  </si>
  <si>
    <t>Inactive or mismatched grant → DENIED: NOT_AUTHORIZED</t>
  </si>
  <si>
    <t>U04-05</t>
  </si>
  <si>
    <t>blocks approval for unenforceable audience or unsupported multi-step policy</t>
  </si>
  <si>
    <t>Unenforceable audience → DENIED</t>
  </si>
  <si>
    <t>U04-06</t>
  </si>
  <si>
    <t>allows rejection with a reason but never emits publication intent</t>
  </si>
  <si>
    <t>REJECT with reason → no publication intent</t>
  </si>
  <si>
    <t>U04-07</t>
  </si>
  <si>
    <t>allows Organization Admin self-approval without a reviewer grant</t>
  </si>
  <si>
    <t>Org Admin self-approves → authorized admin exception</t>
  </si>
  <si>
    <t>Show only reviewable pending work and preserve rejectable invalid submissions.</t>
  </si>
  <si>
    <t>PRECONDITION: Pending submissions, live member/grant data and stable ordering.  |  SOURCE: Arden/apps/api/src/knowledge/review-queue.test.ts  |  SHA: 953be5418f5489f14cb01c919cb649c207637ec9</t>
  </si>
  <si>
    <t>U05-01</t>
  </si>
  <si>
    <t>returns only currently authorized pending submissions</t>
  </si>
  <si>
    <t>Live matching reviewer → only authorized pending rows</t>
  </si>
  <si>
    <t>U05-02</t>
  </si>
  <si>
    <t>keeps an invalid-audience submission visible so the reviewer can reject it</t>
  </si>
  <si>
    <t>Invalid-audience submission → remains visible to reject</t>
  </si>
  <si>
    <t>U05-03</t>
  </si>
  <si>
    <t>shows Organization Admin their own pending submission without a reviewer grant</t>
  </si>
  <si>
    <t>Org Admin own pending submission → visible without grant</t>
  </si>
  <si>
    <t>U05-04</t>
  </si>
  <si>
    <t>accepts one matching live grant, including classification and attribute filters</t>
  </si>
  <si>
    <t>Live matching classification/team grant → visible</t>
  </si>
  <si>
    <t>U05-05</t>
  </si>
  <si>
    <t>requires a specialist or senior grant for restricted material</t>
  </si>
  <si>
    <t>Restricted without specialist → hidden</t>
  </si>
  <si>
    <t>U05-06</t>
  </si>
  <si>
    <t>shows an organization-wide submission only to an organization reviewer</t>
  </si>
  <si>
    <t>Org-wide submission; department reviewer → hidden</t>
  </si>
  <si>
    <t>U05-07</t>
  </si>
  <si>
    <t>fails closed for inactive actors and invalid queue data</t>
  </si>
  <si>
    <t>Inactive reviewer or malformed policy data → fail closed</t>
  </si>
  <si>
    <t>U05-08</t>
  </si>
  <si>
    <t>deduplicates join results after authorization and sorts newest first</t>
  </si>
  <si>
    <t>Duplicate joins and newer submissions → deduped newest first</t>
  </si>
  <si>
    <t>Verify index job lease, payload, activation and no-job behavior.</t>
  </si>
  <si>
    <t>PRECONDITION: Isolated fake claim store, snapshot, worker client and completion callbacks.  |  SOURCE: Arden/apps/api/src/indexing/worker.test.ts  |  SHA: 953be5418f5489f14cb01c919cb649c207637ec9</t>
  </si>
  <si>
    <t>U06-01</t>
  </si>
  <si>
    <t>rejects leases shorter than the bounded AI request plus completion margin</t>
  </si>
  <si>
    <t>Lease 300s default → returns 300 seconds</t>
  </si>
  <si>
    <t>U06-02</t>
  </si>
  <si>
    <t>Lease shorter than request margin → throws config error</t>
  </si>
  <si>
    <t>U06-03</t>
  </si>
  <si>
    <t>does not retry a generation superseded by an already published snapshot</t>
  </si>
  <si>
    <t>Superseded generation on complete → nonretryable superseded failure</t>
  </si>
  <si>
    <t>U06-04</t>
  </si>
  <si>
    <t>indexes one claimed snapshot and delegates atomic activation to core storage</t>
  </si>
  <si>
    <t>One ready semantic snapshot job → indexes; complete activates atomically</t>
  </si>
  <si>
    <t>U06-05</t>
  </si>
  <si>
    <t>passes an integrity-checked PDF snapshot to Arden AI as base64</t>
  </si>
  <si>
    <t>Integrity-checked PDF snapshot → base64 payload roundtrips</t>
  </si>
  <si>
    <t>U06-06</t>
  </si>
  <si>
    <t>returns idle without side effects when no job is ready</t>
  </si>
  <si>
    <t>No ready job → idle without side effects</t>
  </si>
  <si>
    <t>Maintain opaque URI, integrity hashes and raw PDF bytes.</t>
  </si>
  <si>
    <t>PRECONDITION: Temporary isolated storage root; no production objects.  |  SOURCE: Arden/apps/api/src/private-notes/content-storage.test.ts  |  SHA: 953be5418f5489f14cb01c919cb649c207637ec9</t>
  </si>
  <si>
    <t>U07-01</t>
  </si>
  <si>
    <t>writes opaque content references and verifies their content hash</t>
  </si>
  <si>
    <t>Store and read Unicode text → roundtrip; hash verified</t>
  </si>
  <si>
    <t>U07-02</t>
  </si>
  <si>
    <t>Read with incorrect SHA-256 → integrity check failure</t>
  </si>
  <si>
    <t>U07-03</t>
  </si>
  <si>
    <t>rejects client-controlled paths and removes objects by opaque URI</t>
  </si>
  <si>
    <t>Path traversal reference → invalid private URI</t>
  </si>
  <si>
    <t>U07-04</t>
  </si>
  <si>
    <t>Delete opaque object, read again → read rejects after deletion</t>
  </si>
  <si>
    <t>U07-05</t>
  </si>
  <si>
    <t>stores PDF bytes without UTF-8 conversion and verifies their hash</t>
  </si>
  <si>
    <t>Store PDF bytes; readPdf → byte-identical output</t>
  </si>
  <si>
    <t>U07-06</t>
  </si>
  <si>
    <t>Read PDF as text → explicit PDF/text rejection</t>
  </si>
  <si>
    <t>Allow only bounded API routes, methods and idempotency semantics.</t>
  </si>
  <si>
    <t>PRECONDITION: Desktop request policy fixture; bounded payload and route list.  |  SOURCE: Arden/apps/desktop/src/main/apiRequestPolicy.test.ts  |  SHA: 953be5418f5489f14cb01c919cb649c207637ec9</t>
  </si>
  <si>
    <t>U08-01</t>
  </si>
  <si>
    <t>bounds audience-group routes and requires group-specific update preconditions</t>
  </si>
  <si>
    <t>Bounded audience-group edit → allowed with precondition</t>
  </si>
  <si>
    <t>U08-02</t>
  </si>
  <si>
    <t>permits a bounded shared-draft create with its idempotency key</t>
  </si>
  <si>
    <t>Shared draft with idempotency key → allowed</t>
  </si>
  <si>
    <t>U08-03</t>
  </si>
  <si>
    <t>allows only a bounded PDF upload route to carry a larger request</t>
  </si>
  <si>
    <t>PDF upload on specific route → larger body allowed</t>
  </si>
  <si>
    <t>U08-04</t>
  </si>
  <si>
    <t>rejects missing, malformed, or misrouted idempotency keys</t>
  </si>
  <si>
    <t>Missing or misplaced idempotency key → blocked</t>
  </si>
  <si>
    <t>U08-05</t>
  </si>
  <si>
    <t>retains existing private-draft and session requests without broadening routes</t>
  </si>
  <si>
    <t>Existing private note and session routes → allowed</t>
  </si>
  <si>
    <t>U08-06</t>
  </si>
  <si>
    <t>permits the bounded author, reviewer, publication and admin routes</t>
  </si>
  <si>
    <t>Known author/review/admin route → allowed</t>
  </si>
  <si>
    <t>U08-07</t>
  </si>
  <si>
    <t>rejects method, precondition and route confusion across knowledge endpoints</t>
  </si>
  <si>
    <t>Method/path/precondition confusion → blocked</t>
  </si>
  <si>
    <t>Preserve canonical IDs, text formatting and safe links.</t>
  </si>
  <si>
    <t>PRECONDITION: Canonical schema v1 document, serializer and parser.  |  SOURCE: Arden/packages/domain/src/semantic-document.test.ts  |  SHA: 953be5418f5489f14cb01c919cb649c207637ec9</t>
  </si>
  <si>
    <t>U09-01</t>
  </si>
  <si>
    <t>round-trips stable ids, formatting, and link semantics</t>
  </si>
  <si>
    <t>Valid IDs, formatting and links → round-trip identical</t>
  </si>
  <si>
    <t>U09-02</t>
  </si>
  <si>
    <t>rejects missing and duplicate stable ids</t>
  </si>
  <si>
    <t>Missing stable block ID → invalid document</t>
  </si>
  <si>
    <t>U09-03</t>
  </si>
  <si>
    <t>Duplicate stable IDs → invalid document</t>
  </si>
  <si>
    <t>U09-04</t>
  </si>
  <si>
    <t>normalizes new plain-text input without accepting it as stored canonical content</t>
  </si>
  <si>
    <t>New plain text input → normalizes into blocks</t>
  </si>
  <si>
    <t>U09-05</t>
  </si>
  <si>
    <t>Raw plain text parsed as stored doc → INVALID_PREFIX</t>
  </si>
  <si>
    <t>U09-06</t>
  </si>
  <si>
    <t>rejects unsafe links</t>
  </si>
  <si>
    <t>Unsafe link URL → invalid document</t>
  </si>
  <si>
    <t>U09-07</t>
  </si>
  <si>
    <t>rejects unknown canonical fields instead of silently changing meaning</t>
  </si>
  <si>
    <t>Unknown canonical property → invalid document</t>
  </si>
  <si>
    <t>Keep unsaved drafts isolated and avoid unintended server writes.</t>
  </si>
  <si>
    <t>PRECONDITION: Sample saved notes, reducer actions and local draft state.  |  SOURCE: Arden/packages/ui/tests/noteDraftModel.test.ts  |  SHA: 953be5418f5489f14cb01c919cb649c207637ec9</t>
  </si>
  <si>
    <t>U10-01</t>
  </si>
  <si>
    <t>keeps an unsaved draft when selecting another note and returning</t>
  </si>
  <si>
    <t>Edit then switch back → draft remains unsaved</t>
  </si>
  <si>
    <t>U10-02</t>
  </si>
  <si>
    <t>saves only the selected note while preserving other drafts</t>
  </si>
  <si>
    <t>Save selected note while second dirty → other draft retained</t>
  </si>
  <si>
    <t>U10-03</t>
  </si>
  <si>
    <t>does not mark a reverted edit as dirty</t>
  </si>
  <si>
    <t>Revert edit to saved value → dirty=false</t>
  </si>
  <si>
    <t>U10-04</t>
  </si>
  <si>
    <t>creating and saving a new note preserves the previous unsaved note</t>
  </si>
  <si>
    <t>Create new note while prior draft dirty → prior draft preserved</t>
  </si>
  <si>
    <t>U10-05</t>
  </si>
  <si>
    <t>clears all drafts and saved preview changes when the session resets</t>
  </si>
  <si>
    <t>Reset active session → drafts cleared</t>
  </si>
  <si>
    <t>U10-06</t>
  </si>
  <si>
    <t>ignores missing selections and handles an empty workspace</t>
  </si>
  <si>
    <t>Select unknown note ID → same state; no exception</t>
  </si>
  <si>
    <t>U10-07</t>
  </si>
  <si>
    <t>discards only the selected note</t>
  </si>
  <si>
    <t>Discard only selected draft → other drafts intact</t>
  </si>
  <si>
    <t>U10-08</t>
  </si>
  <si>
    <t>removes a never-saved local note without deleting saved notes or other drafts</t>
  </si>
  <si>
    <t>Remove never-saved note → saved notes intact</t>
  </si>
  <si>
    <t>Apply invitation expiry, status and counting/sorting rules.</t>
  </si>
  <si>
    <t>PRECONDITION: Fixed now 2026-10-23, invitation fixtures.  |  SOURCE: Arden/packages/ui/tests/invitationStatus.test.ts  |  SHA: 953be5418f5489f14cb01c919cb649c207637ec9</t>
  </si>
  <si>
    <t>U11-01</t>
  </si>
  <si>
    <t>treats a pending invitation past expiry as expired</t>
  </si>
  <si>
    <t>PENDING expires tomorrow → PENDING</t>
  </si>
  <si>
    <t>U11-02</t>
  </si>
  <si>
    <t>PENDING expired yesterday → EXPIRED</t>
  </si>
  <si>
    <t>U11-03</t>
  </si>
  <si>
    <t>keeps server outcomes and maps unknown statuses to revoked</t>
  </si>
  <si>
    <t>Server ACCEPTED or REVOKED → server state retained</t>
  </si>
  <si>
    <t>U11-04</t>
  </si>
  <si>
    <t>Unknown status → maps to REVOKED</t>
  </si>
  <si>
    <t>U11-05</t>
  </si>
  <si>
    <t>counts every invitation once and orders actionable ones first</t>
  </si>
  <si>
    <t>Mixed list with duplicate joins → each counted once; pending first</t>
  </si>
  <si>
    <t>Reject nonallowed generation and ungrounded citations; abstain on no evidence.</t>
  </si>
  <si>
    <t>PRECONDITION: Fake retriever/generator, UUID allowlist, MFA evidence.  |  SOURCE: Arden-AI/tests/test_answering.py  |  SHA: cc0b4d2cf042be4d54c92abecd90f8ac7c1da3ec</t>
  </si>
  <si>
    <t>U12-01</t>
  </si>
  <si>
    <t>test_answerer_returns_only_retrieved_citations</t>
  </si>
  <si>
    <t>Retrieved allowed chunk + cited generator → ANSWERED; citation grounded</t>
  </si>
  <si>
    <t>U12-02</t>
  </si>
  <si>
    <t>test_answerer_rejects_evidence_outside_core_allow_list</t>
  </si>
  <si>
    <t>Retrieved chunk from other generation → throws outside allow-list</t>
  </si>
  <si>
    <t>U12-03</t>
  </si>
  <si>
    <t>test_answerer_abstains_when_retrieval_is_empty</t>
  </si>
  <si>
    <t>Retriever returns zero chunks → INSUFFICIENT_EVIDENCE; no citation</t>
  </si>
  <si>
    <t>Preserve chunk offsets, parent section and token limits.</t>
  </si>
  <si>
    <t>PRECONDITION: Compiled semantic document with long security section.  |  SOURCE: Arden-AI/tests/test_chunking.py  |  SHA: cc0b4d2cf042be4d54c92abecd90f8ac7c1da3ec</t>
  </si>
  <si>
    <t>U13-01</t>
  </si>
  <si>
    <t>test_langchain_chunking_preserves_offsets_and_parent_sections</t>
  </si>
  <si>
    <t>Chunk text with overlap below size → offsets and parent IDs preserved</t>
  </si>
  <si>
    <t>U13-02</t>
  </si>
  <si>
    <t>test_chunking_rejects_invalid_overlap</t>
  </si>
  <si>
    <t>Overlap &gt;= chunk size → error: overlap must be smaller</t>
  </si>
  <si>
    <t>Validate strict generation payload, hash, PDF bytes and JSON schema.</t>
  </si>
  <si>
    <t>PRECONDITION: Versioned camelCase indexing request with stable UUIDs.  |  SOURCE: Arden-AI/tests/test_contracts.py  |  SHA: cc0b4d2cf042be4d54c92abecd90f8ac7c1da3ec</t>
  </si>
  <si>
    <t>U14-01</t>
  </si>
  <si>
    <t>test_index_request_uses_strict_camel_case_contract</t>
  </si>
  <si>
    <t>Valid exact camelCase payload → parsed UUID and content</t>
  </si>
  <si>
    <t>U14-02</t>
  </si>
  <si>
    <t>test_index_request_rejects_unknown_fields</t>
  </si>
  <si>
    <t>Unexpected callbackUrl property → validation error</t>
  </si>
  <si>
    <t>U14-03</t>
  </si>
  <si>
    <t>test_index_request_rejects_future_contract_versions</t>
  </si>
  <si>
    <t>Future contractVersion → validation error</t>
  </si>
  <si>
    <t>U14-04</t>
  </si>
  <si>
    <t>test_index_request_rejects_snapshot_hash_mismatch</t>
  </si>
  <si>
    <t>Snapshot text/hash disagree → validation error</t>
  </si>
  <si>
    <t>U14-05</t>
  </si>
  <si>
    <t>test_index_request_accepts_integrity_checked_pdf_bytes</t>
  </si>
  <si>
    <t>Raw PDF bytes match hash → pdf_bytes matches input</t>
  </si>
  <si>
    <t>U14-06</t>
  </si>
  <si>
    <t>test_exported_indexing_schema_contains_concrete_contracts</t>
  </si>
  <si>
    <t>Export generated schema → concrete contract objects</t>
  </si>
  <si>
    <t>Resolve PDF page from cited block or fallback parent; ignore non-PDF.</t>
  </si>
  <si>
    <t>PRECONDITION: Cited semantic source blocks and optional parent reference.  |  SOURCE: Arden/apps/api/src/answers/citation-page.test.ts  |  SHA: 953be5418f5489f14cb01c919cb649c207637ec9</t>
  </si>
  <si>
    <t>U15-01</t>
  </si>
  <si>
    <t>reads the PDF page from a source block</t>
  </si>
  <si>
    <t>PDF block with page number → source PDF page returned</t>
  </si>
  <si>
    <t>U15-02</t>
  </si>
  <si>
    <t>falls back to the parent section and ignores non-PDF blocks</t>
  </si>
  <si>
    <t>Page stored only on parent block → parent page returned</t>
  </si>
  <si>
    <t>U15-03</t>
  </si>
  <si>
    <t>Non-PDF block → no PDF navigation page</t>
  </si>
  <si>
    <t>Filter managed audience by scope and disallow invalid choices.</t>
  </si>
  <si>
    <t>PRECONDITION: Org and department audience fixtures plus selected scope.  |  SOURCE: Arden/packages/ui/tests/knowledgeAudience.test.ts  |  SHA: 953be5418f5489f14cb01c919cb649c207637ec9</t>
  </si>
  <si>
    <t>U16-01</t>
  </si>
  <si>
    <t>offers managed audiences only at their matching scope and groups at either scope</t>
  </si>
  <si>
    <t>Organization and department scopes → only matching managed options</t>
  </si>
  <si>
    <t>U16-02</t>
  </si>
  <si>
    <t>removes ALL_MEMBERS when switching from Organization to Department</t>
  </si>
  <si>
    <t>Switch ORGANIZATION to DEPARTMENT → ALL_MEMBERS removed</t>
  </si>
  <si>
    <t>U16-03</t>
  </si>
  <si>
    <t>rejects empty, duplicate, unknown and out-of-scope selections</t>
  </si>
  <si>
    <t>Empty/unknown/duplicate selected audiences → selection rejected</t>
  </si>
  <si>
    <t>Constrain synthetic account, DB target and revocable test sessions.</t>
  </si>
  <si>
    <t>PRECONDITION: Isolated loopback test DB; example.test fixtures only.  |  SOURCE: Arden/apps/api/src/auth/local-flow1-test.test.ts  |  SHA: 953be5418f5489f14cb01c919cb649c207637ec9</t>
  </si>
  <si>
    <t>U17-01</t>
  </si>
  <si>
    <t>accepts only the explicit loopback disposable database and local API bind</t>
  </si>
  <si>
    <t>Known loopback/local DB → configuration accepted</t>
  </si>
  <si>
    <t>U17-02</t>
  </si>
  <si>
    <t>External DB binding → configuration rejected</t>
  </si>
  <si>
    <t>U17-03</t>
  </si>
  <si>
    <t>accepts only bounded synthetic example.test accounts with strong local passwords</t>
  </si>
  <si>
    <t>Synthetic example.test identities → accounts accepted</t>
  </si>
  <si>
    <t>U17-04</t>
  </si>
  <si>
    <t>issues revocable in-memory sessions only for configured test accounts</t>
  </si>
  <si>
    <t>Unknown account sign-in → INVALID_CREDENTIALS</t>
  </si>
  <si>
    <t>U17-05</t>
  </si>
  <si>
    <t>Revoke in-memory session → resolves unauthenticated</t>
  </si>
  <si>
    <t>U17-06</t>
  </si>
  <si>
    <t>recognizes only the dedicated Kiet Local development database without Supabase</t>
  </si>
  <si>
    <t>Runtime non-test database → rejects local-only target</t>
  </si>
  <si>
    <t>Use correct citation page and safe download names.</t>
  </si>
  <si>
    <t>PRECONDITION: Synthetic PDF id, citation page and document metadata.  |  SOURCE: Arden/packages/ui/tests/pdfDocument.test.ts  |  SHA: 953be5418f5489f14cb01c919cb649c207637ec9</t>
  </si>
  <si>
    <t>U18-01</t>
  </si>
  <si>
    <t>changes the embedded viewer identity when the citation moves to another page</t>
  </si>
  <si>
    <t>Citation page changes → viewer identity changes</t>
  </si>
  <si>
    <t>U18-02</t>
  </si>
  <si>
    <t>keeps a deterministic viewer identity for the first page and safe download names</t>
  </si>
  <si>
    <t>First page and unsafe filename → stable first-page identity; safe name</t>
  </si>
  <si>
    <t>Validate digest, snapshot identity and strict AI manifest.</t>
  </si>
  <si>
    <t>PRECONDITION: Expected Core snapshot identity and response manifest.  |  SOURCE: Arden/apps/api/src/indexing/contracts.test.ts  |  SHA: 953be5418f5489f14cb01c919cb649c207637ec9</t>
  </si>
  <si>
    <t>U19-01</t>
  </si>
  <si>
    <t>builds MIME-explicit text and PDF requests without changing snapshot identity</t>
  </si>
  <si>
    <t>Text and PDF requests → MIME explicit; identity preserved</t>
  </si>
  <si>
    <t>U19-02</t>
  </si>
  <si>
    <t>accepts the strict Arden-AI v1 manifest and verifies its chunk digest</t>
  </si>
  <si>
    <t>Strict v1 manifest and valid digest → manifest accepted</t>
  </si>
  <si>
    <t>U19-03</t>
  </si>
  <si>
    <t>rejects identity drift, unknown fields and invalid chunk digests</t>
  </si>
  <si>
    <t>Identity drift or wrong chunk digest → manifest rejected</t>
  </si>
  <si>
    <t>Repository</t>
  </si>
  <si>
    <t>Component</t>
  </si>
  <si>
    <t>Test file</t>
  </si>
  <si>
    <t>Source declaration</t>
  </si>
  <si>
    <t>Test type</t>
  </si>
  <si>
    <t>Source link</t>
  </si>
  <si>
    <t>Arden</t>
  </si>
  <si>
    <t>API</t>
  </si>
  <si>
    <t>apps/api/src/answers/citation-page.test.ts</t>
  </si>
  <si>
    <t>Unit</t>
  </si>
  <si>
    <t>https://github.com/Arden-Enterprise/Arden/blob/953be5418f5489f14cb01c919cb649c207637ec9/apps/api/src/answers/citation-page.test.ts</t>
  </si>
  <si>
    <t>apps/api/src/answers/contracts.test.ts</t>
  </si>
  <si>
    <t>accepts a bounded exact response</t>
  </si>
  <si>
    <t>https://github.com/Arden-Enterprise/Arden/blob/953be5418f5489f14cb01c919cb649c207637ec9/apps/api/src/answers/contracts.test.ts</t>
  </si>
  <si>
    <t>rejects unknown fields and ungrounded answered responses</t>
  </si>
  <si>
    <t>accepts an honest no-evidence response</t>
  </si>
  <si>
    <t>apps/api/src/app.test.ts</t>
  </si>
  <si>
    <t>keeps health routes public and reports readiness failures safely</t>
  </si>
  <si>
    <t>API route</t>
  </si>
  <si>
    <t>https://github.com/Arden-Enterprise/Arden/blob/953be5418f5489f14cb01c919cb649c207637ec9/apps/api/src/app.test.ts</t>
  </si>
  <si>
    <t>answers only from the caller</t>
  </si>
  <si>
    <t>drops the answer when publication access changes before citations are returned</t>
  </si>
  <si>
    <t>signs in through the Supabase adapter and returns only the caller</t>
  </si>
  <si>
    <t>completes Google PKCE sign-in and requires a one-time Arden password</t>
  </si>
  <si>
    <t>handles sign-up validation and duplicate account rejection</t>
  </si>
  <si>
    <t>handles forgot password requests, verification proxy, and password reset</t>
  </si>
  <si>
    <t>allows the explicitly injected Kiet Local test actor to use core routes without a login cookie</t>
  </si>
  <si>
    <t>creates an organization with the verified caller as its first admin and primary-department member</t>
  </si>
  <si>
    <t>exposes organization administration and audience/department mutations only to the Org Admin</t>
  </si>
  <si>
    <t>requires a signed-in verified email and validates organization setup input</t>
  </si>
  <si>
    <t>keeps instance administration separate from organization administration</t>
  </si>
  <si>
    <t>does not allow revoking the last active Arden System Admin</t>
  </si>
  <si>
    <t>sends opaque invitations and accepts them only for the matching authenticated email once</t>
  </si>
  <si>
    <t>does not acknowledge invitation delivery when SMTP reports a failure</t>
  </si>
  <si>
    <t>labels local-test invitations as saved without sending email</t>
  </si>
  <si>
    <t>revokes a pending invitation and blocks later acceptance</t>
  </si>
  <si>
    <t>rejects bad credentials, missing sessions, and malformed sign-in payloads</t>
  </si>
  <si>
    <t>keeps invitation account setup non-enumerating and never starts an authenticated session</t>
  </si>
  <si>
    <t>signs out through Supabase and clears the session cookies</t>
  </si>
  <si>
    <t>creates and reads only the authorized owner</t>
  </si>
  <si>
    <t>returns the same safe 404 for forged owner IDs and cross-organization guesses</t>
  </si>
  <si>
    <t>checks role permission before owner scope and never grants managers another member</t>
  </si>
  <si>
    <t>rejects missing and stale update versions without acknowledging an overwrite</t>
  </si>
  <si>
    <t>updates with an expected version and advances the immutable version number</t>
  </si>
  <si>
    <t>validates tenant identifiers, unknown fields, NULs, and oversized request bodies</t>
  </si>
  <si>
    <t>creates an independent shared copy of the author</t>
  </si>
  <si>
    <t>denies missing sessions, foreign organizations or versions, and malformed create requests</t>
  </si>
  <si>
    <t>keeps a content copy when database commit outcome is unknown</t>
  </si>
  <si>
    <t>creates a server-backed new shared draft, then lists and reopens only that actor</t>
  </si>
  <si>
    <t>accepts new drafts and reviewer grants without a classification (decision 0013)</t>
  </si>
  <si>
    <t>creates whole-organization grants and rejects mismatched scope metadata (decision 0015)</t>
  </si>
  <si>
    <t>preserves an uploaded PDF through metadata, submission, review and preparation</t>
  </si>
  <si>
    <t>rejects malformed, oversized and cross-organization PDF uploads</t>
  </si>
  <si>
    <t>exposes active knowledge metadata options only within the actor</t>
  </si>
  <si>
    <t>rejects invalid new shared drafts and does not reveal another organization</t>
  </si>
  <si>
    <t>updates a shared draft as a new version only when If-Match is current</t>
  </si>
  <si>
    <t>routes submit, scoped review and preparation without exposing the private source</t>
  </si>
  <si>
    <t>keeps the working draft mutable while the submitted snapshot remains pending</t>
  </si>
  <si>
    <t>routes desktop-compatible sign-in through the same HttpOnly Supabase session</t>
  </si>
  <si>
    <t>apps/api/src/auth/local-flow1-test.test.ts</t>
  </si>
  <si>
    <t>https://github.com/Arden-Enterprise/Arden/blob/953be5418f5489f14cb01c919cb649c207637ec9/apps/api/src/auth/local-flow1-test.test.ts</t>
  </si>
  <si>
    <t>apps/api/src/auth/provider.integration.test.ts</t>
  </si>
  <si>
    <t>authenticates the synthetic user and rejects the session after sign-out</t>
  </si>
  <si>
    <t>Integration</t>
  </si>
  <si>
    <t>https://github.com/Arden-Enterprise/Arden/blob/953be5418f5489f14cb01c919cb649c207637ec9/apps/api/src/auth/provider.integration.test.ts</t>
  </si>
  <si>
    <t>apps/api/src/auth/provider.test.ts</t>
  </si>
  <si>
    <t>blocks production Google sign-in when the public Auth origin is missing</t>
  </si>
  <si>
    <t>https://github.com/Arden-Enterprise/Arden/blob/953be5418f5489f14cb01c919cb649c207637ec9/apps/api/src/auth/provider.test.ts</t>
  </si>
  <si>
    <t>starts Google sign-in on the public Auth host with the exact Arden callback</t>
  </si>
  <si>
    <t>keeps PKCE code exchange on the private Auth gateway</t>
  </si>
  <si>
    <t>apps/api/src/db/migration-command.test.ts</t>
  </si>
  <si>
    <t>implements explicit guarded command modes</t>
  </si>
  <si>
    <t>https://github.com/Arden-Enterprise/Arden/blob/953be5418f5489f14cb01c919cb649c207637ec9/apps/api/src/db/migration-command.test.ts</t>
  </si>
  <si>
    <t>reports database error codes without leaking their message or connection details</t>
  </si>
  <si>
    <t>keeps useful runner diagnostics while removing complete database URLs</t>
  </si>
  <si>
    <t>redacts standalone password and token assignments in runner messages</t>
  </si>
  <si>
    <t>accepts only a local development database for the full migration chain</t>
  </si>
  <si>
    <t>requires exact explicit modes without accepting extra arguments</t>
  </si>
  <si>
    <t>apps/api/src/db/migration-plan.test.ts</t>
  </si>
  <si>
    <t>implements the checksum-aware migration planner</t>
  </si>
  <si>
    <t>https://github.com/Arden-Enterprise/Arden/blob/953be5418f5489f14cb01c919cb649c207637ec9/apps/api/src/db/migration-plan.test.ts</t>
  </si>
  <si>
    <t>selects only the ordered pending migrations after a proven applied prefix</t>
  </si>
  <si>
    <t>accepts gaps in migration numbers without inventing a missing migration</t>
  </si>
  <si>
    <t>returns no pending work when all checksums match</t>
  </si>
  <si>
    <t>blocks an operator-class pending migration</t>
  </si>
  <si>
    <t>requires an operator checksum baseline for a missing or null checksum</t>
  </si>
  <si>
    <t>stops on unknown applied IDs and checksum drift</t>
  </si>
  <si>
    <t>rejects malformed, duplicate, and non-prefix ledger rows</t>
  </si>
  <si>
    <t>rejects a candidate inventory that is not uniquely and lexically ordered</t>
  </si>
  <si>
    <t>continues only the unapplied safe suffix after a checksum-proven partial run</t>
  </si>
  <si>
    <t>apps/api/src/db/repository.integration.test.ts</t>
  </si>
  <si>
    <t>uses a non-superuser worker login without API private-content access</t>
  </si>
  <si>
    <t>https://github.com/Arden-Enterprise/Arden/blob/953be5418f5489f14cb01c919cb649c207637ec9/apps/api/src/db/repository.integration.test.ts</t>
  </si>
  <si>
    <t>enforces owner-only drafts, member creation, conflicts, and audit records through RLS</t>
  </si>
  <si>
    <t>copies only an authorized private version and keeps shared rows invisible to another member</t>
  </si>
  <si>
    <t>shows invited members to their Org Admin and permits a reviewer grant without exposing profiles to other actors</t>
  </si>
  <si>
    <t>keeps organization and department reviewer scopes disjoint and exposes grant availability</t>
  </si>
  <si>
    <t>durably enqueues and atomically activates a different member</t>
  </si>
  <si>
    <t>apps/api/src/email/smtp-mailer.test.ts</t>
  </si>
  <si>
    <t>does not configure invitation delivery when all SMTP settings are empty</t>
  </si>
  <si>
    <t>https://github.com/Arden-Enterprise/Arden/blob/953be5418f5489f14cb01c919cb649c207637ec9/apps/api/src/email/smtp-mailer.test.ts</t>
  </si>
  <si>
    <t>rejects incomplete SMTP settings so a deployment cannot silently send without its configured credentials</t>
  </si>
  <si>
    <t>validates the port and transport security flag without exposing the password</t>
  </si>
  <si>
    <t>requires TLS for STARTTLS SMTP and bounds connection timeouts</t>
  </si>
  <si>
    <t>uses implicit TLS without STARTTLS negotiation when configured for port 465</t>
  </si>
  <si>
    <t>sends both text and embedded professional HTML when dispatching an invitation</t>
  </si>
  <si>
    <t>apps/api/src/indexing/contracts.test.ts</t>
  </si>
  <si>
    <t>https://github.com/Arden-Enterprise/Arden/blob/953be5418f5489f14cb01c919cb649c207637ec9/apps/api/src/indexing/contracts.test.ts</t>
  </si>
  <si>
    <t>apps/api/src/indexing/worker.test.ts</t>
  </si>
  <si>
    <t>https://github.com/Arden-Enterprise/Arden/blob/953be5418f5489f14cb01c919cb649c207637ec9/apps/api/src/indexing/worker.test.ts</t>
  </si>
  <si>
    <t>apps/api/src/knowledge/policy.test.ts</t>
  </si>
  <si>
    <t>https://github.com/Arden-Enterprise/Arden/blob/953be5418f5489f14cb01c919cb649c207637ec9/apps/api/src/knowledge/policy.test.ts</t>
  </si>
  <si>
    <t>creates a shared copy only from owned private content or readable publication</t>
  </si>
  <si>
    <t>keeps the legacy Restricted level rule for both scopes</t>
  </si>
  <si>
    <t>apps/api/src/knowledge/review-decision.test.ts</t>
  </si>
  <si>
    <t>https://github.com/Arden-Enterprise/Arden/blob/953be5418f5489f14cb01c919cb649c207637ec9/apps/api/src/knowledge/review-decision.test.ts</t>
  </si>
  <si>
    <t>apps/api/src/knowledge/review-queue.test.ts</t>
  </si>
  <si>
    <t>https://github.com/Arden-Enterprise/Arden/blob/953be5418f5489f14cb01c919cb649c207637ec9/apps/api/src/knowledge/review-queue.test.ts</t>
  </si>
  <si>
    <t>apps/api/src/private-notes/content-storage.test.ts</t>
  </si>
  <si>
    <t>https://github.com/Arden-Enterprise/Arden/blob/953be5418f5489f14cb01c919cb649c207637ec9/apps/api/src/private-notes/content-storage.test.ts</t>
  </si>
  <si>
    <t>Desktop</t>
  </si>
  <si>
    <t>apps/desktop/src/main/apiRequestPolicy.test.ts</t>
  </si>
  <si>
    <t>Desktop policy</t>
  </si>
  <si>
    <t>https://github.com/Arden-Enterprise/Arden/blob/953be5418f5489f14cb01c919cb649c207637ec9/apps/desktop/src/main/apiRequestPolicy.test.ts</t>
  </si>
  <si>
    <t>Release</t>
  </si>
  <si>
    <t>deploy/hosted/tests/test_workflow.py</t>
  </si>
  <si>
    <t>test_numbered_migrations_may_use_security_domain_terms</t>
  </si>
  <si>
    <t>Release protocol</t>
  </si>
  <si>
    <t>https://github.com/Arden-Enterprise/Arden/blob/953be5418f5489f14cb01c919cb649c207637ec9/deploy/hosted/tests/test_workflow.py</t>
  </si>
  <si>
    <t>test_competing_writer_cannot_replace_lease</t>
  </si>
  <si>
    <t>test_simultaneous_nonroot_writers_have_one_winner</t>
  </si>
  <si>
    <t>test_cross_slot_account_denied_even_with_writer_token</t>
  </si>
  <si>
    <t>test_nonroot_account_cannot_modify_operator_assignment_or_fence</t>
  </si>
  <si>
    <t>test_deletion_reconciliation_preserves_required_source</t>
  </si>
  <si>
    <t>test_expired_lease_rejects_changes_and_allows_new_writer</t>
  </si>
  <si>
    <t>test_bad_checksum_and_missing_required_source_do_not_write</t>
  </si>
  <si>
    <t>test_traversal_secret_paths_and_symlink_escape_are_denied</t>
  </si>
  <si>
    <t>test_sync_mutation_holds_global_fence_and_pause_rejects_it</t>
  </si>
  <si>
    <t>test_exclusive_maintenance_blocks_direct_starts_and_source_writes</t>
  </si>
  <si>
    <t>test_failed_maintenance_stays_paused_until_explicit_recovery</t>
  </si>
  <si>
    <t>test_missing_writable_and_symlink_fences_fail_closed</t>
  </si>
  <si>
    <t>test_waiting_resume_cannot_run_after_another_operator_unpauses</t>
  </si>
  <si>
    <t>test_both_startup_paths_hold_fence_until_startup_finishes</t>
  </si>
  <si>
    <t>test_cutover_drains_start_admitted_before_pause</t>
  </si>
  <si>
    <t>test_invalid_markers_and_missing_duplicate_containers_fail_closed</t>
  </si>
  <si>
    <t>test_unhealthy_or_timed_out_services_fail</t>
  </si>
  <si>
    <t>test_stopped_managed_services_start_only_identified_containers</t>
  </si>
  <si>
    <t>test_managed_failure_never_falls_back_to_legacy_compose</t>
  </si>
  <si>
    <t>test_cross_slot_sudo_caller_is_denied</t>
  </si>
  <si>
    <t>deploy/release/tests/test_archive.py</t>
  </si>
  <si>
    <t>test_normalization_uses_config_content_identity_and_removes_alternate_views</t>
  </si>
  <si>
    <t>https://github.com/Arden-Enterprise/Arden/blob/953be5418f5489f14cb01c919cb649c207637ec9/deploy/release/tests/test_archive.py</t>
  </si>
  <si>
    <t>deploy/release/tests/test_bootstrap.py</t>
  </si>
  <si>
    <t>test_exact_private_volume_is_external_and_secrets_remain_runtime_values</t>
  </si>
  <si>
    <t>https://github.com/Arden-Enterprise/Arden/blob/953be5418f5489f14cb01c919cb649c207637ec9/deploy/release/tests/test_bootstrap.py</t>
  </si>
  <si>
    <t>test_provider_metadata_and_infrastructure_only_secrets_are_not_copied_into_the_app</t>
  </si>
  <si>
    <t>test_routing_aliases_and_auth_database_networks_are_preserved_without_sharing_web</t>
  </si>
  <si>
    <t>test_wrong_source_or_missing_storage_fails_before_any_cutover</t>
  </si>
  <si>
    <t>test_original_inventory_is_not_modified</t>
  </si>
  <si>
    <t>test_migration_config_captures_one_private_target_without_credentials</t>
  </si>
  <si>
    <t>test_candidate_omits_empty_public_alias_fields_for_coolify_serialization</t>
  </si>
  <si>
    <t>test_schema_approval_requires_the_exact_applied_migration_inventory</t>
  </si>
  <si>
    <t>test_deployment_key_cannot_add_another_key_or_arbitrary_forced_command</t>
  </si>
  <si>
    <t>deploy/release/tests/test_identity.py</t>
  </si>
  <si>
    <t>test_valid_signed_job_returns_only_bound_audit_metadata</t>
  </si>
  <si>
    <t>https://github.com/Arden-Enterprise/Arden/blob/953be5418f5489f14cb01c919cb649c207637ec9/deploy/release/tests/test_identity.py</t>
  </si>
  <si>
    <t>test_wrong_repo_branch_workflow_environment_run_and_source_are_rejected</t>
  </si>
  <si>
    <t>test_signature_algorithm_key_expiry_and_request_rebinding_are_rejected</t>
  </si>
  <si>
    <t>test_legacy_subject_is_safe_only_with_the_same_immutable_id_checks</t>
  </si>
  <si>
    <t>test_migration_plan_identity_is_signed_for_exact_candidate_and_each_environment</t>
  </si>
  <si>
    <t>test_migration_reconciliation_requires_a_new_signed_push_attempt_per_environment</t>
  </si>
  <si>
    <t>test_migration_plan_requires_candidate_inventory_and_oidc_proof</t>
  </si>
  <si>
    <t>deploy/release/tests/test_management.py</t>
  </si>
  <si>
    <t>test_configuration_accepts_only_app_services_and_loopback_management</t>
  </si>
  <si>
    <t>https://github.com/Arden-Enterprise/Arden/blob/953be5418f5489f14cb01c919cb649c207637ec9/deploy/release/tests/test_management.py</t>
  </si>
  <si>
    <t>test_migration_login_is_a_noninheriting_owner_only_for_arden_and_its_ledger</t>
  </si>
  <si>
    <t>test_database_client_probe_requires_a_pinned_image_and_explicit_nonroot_postgres_user</t>
  </si>
  <si>
    <t>test_checksum_baseline_receipt_tracks_verified_active_image_not_bootstrap_snapshot</t>
  </si>
  <si>
    <t>test_image_update_preserves_all_runtime_and_storage_configuration</t>
  </si>
  <si>
    <t>test_unrelated_live_configuration_drift_blocks_activation</t>
  </si>
  <si>
    <t>test_prior_async_operation_must_finish_before_configuration_is_replaced</t>
  </si>
  <si>
    <t>test_uncertain_prior_operation_blocks_another_mutation</t>
  </si>
  <si>
    <t>test_portable_config_identity_is_bound_to_verified_store_local_image</t>
  </si>
  <si>
    <t>test_incomplete_import_cleanup_checks_content_and_preserves_retained_local_ids</t>
  </si>
  <si>
    <t>test_migration_configuration_is_exact_and_uses_only_an_api_private_network</t>
  </si>
  <si>
    <t>test_migration_runner_uses_fixed_candidate_api_image_private_network_and_limits</t>
  </si>
  <si>
    <t>test_timed_out_migration_stops_and_verifies_its_named_container</t>
  </si>
  <si>
    <t>test_migration_reconciliation_proves_the_database_lock_is_free_after_stop</t>
  </si>
  <si>
    <t>test_migration_apply_checks_the_database_lock_before_replanning</t>
  </si>
  <si>
    <t>test_migration_reconciliation_refuses_to_clear_pending_while_database_lock_is_held</t>
  </si>
  <si>
    <t>test_migration_runner_failure_reconciles_without_leaking_command_output</t>
  </si>
  <si>
    <t>test_migration_plan_distinguishes_ready_operator_drift_baseline_and_backup</t>
  </si>
  <si>
    <t>test_read_only_ledger_probe_uses_pinned_database_image_and_fixed_private_query</t>
  </si>
  <si>
    <t>deploy/release/tests/test_migration_baseline.py</t>
  </si>
  <si>
    <t>test_checksum_baseline_uses_verified_active_release_not_immutable_bootstrap_snapshot</t>
  </si>
  <si>
    <t>https://github.com/Arden-Enterprise/Arden/blob/953be5418f5489f14cb01c919cb649c207637ec9/deploy/release/tests/test_migration_baseline.py</t>
  </si>
  <si>
    <t>test_prepare_repairs_legacy_journal_and_existing_config_before_cutover</t>
  </si>
  <si>
    <t>test_legacy_active_manifest_derives_policy_inventory_from_exact_image_sql</t>
  </si>
  <si>
    <t>test_baseline_source_accepts_verified_portable_to_local_api_image_binding</t>
  </si>
  <si>
    <t>test_accepts_the_exact_active_image_and_plans_only_checksums_for_applied_rows</t>
  </si>
  <si>
    <t>test_repeat_is_idempotent_when_the_existing_checksums_match</t>
  </si>
  <si>
    <t>test_refuses_wrong_environment_source_image_or_inventory_fingerprint</t>
  </si>
  <si>
    <t>test_refuses_unknown_duplicate_or_checksum_conflicting_ledger_rows</t>
  </si>
  <si>
    <t>test_refuses_to_baseline_an_incomplete_or_out_of_order_applied_inventory</t>
  </si>
  <si>
    <t>test_baseline_sql_is_limited_to_the_ledger_ddl_and_updates_for_existing_rows</t>
  </si>
  <si>
    <t>test_operator_migration_client_forwards_sql_stdin_to_docker</t>
  </si>
  <si>
    <t>test_migration_owner_transfer_temporarily_grants_and_revokes_required_create_privileges</t>
  </si>
  <si>
    <t>test_ownership_handoff_preserves_definer_execution_and_probe_checks_both_owners</t>
  </si>
  <si>
    <t>test_recovery_changes_only_the_reviewed_function_owners</t>
  </si>
  <si>
    <t>deploy/release/tests/test_operator_lock.py</t>
  </si>
  <si>
    <t>test_idempotent_cutover_check_uses_the_existing_host_lock</t>
  </si>
  <si>
    <t>https://github.com/Arden-Enterprise/Arden/blob/953be5418f5489f14cb01c919cb649c207637ec9/deploy/release/tests/test_operator_lock.py</t>
  </si>
  <si>
    <t>deploy/release/tests/test_privilege.py</t>
  </si>
  <si>
    <t>test_signed_migration_plan_dispatches_read_only_without_request_body</t>
  </si>
  <si>
    <t>https://github.com/Arden-Enterprise/Arden/blob/953be5418f5489f14cb01c919cb649c207637ec9/deploy/release/tests/test_privilege.py</t>
  </si>
  <si>
    <t>test_plan_dispatch_rejects_an_appended_body_before_database_access</t>
  </si>
  <si>
    <t>test_migration_block_response_contains_only_validated_status_and_ids</t>
  </si>
  <si>
    <t>test_invalid_migration_block_data_is_replaced_with_unknown</t>
  </si>
  <si>
    <t>test_prepared_resource_resume_finishes_runtime_configuration</t>
  </si>
  <si>
    <t>test_public_key_directories_remain_searchable_under_private_operator_umask</t>
  </si>
  <si>
    <t>test_partial_original_stop_enters_recovery_and_verifies_it</t>
  </si>
  <si>
    <t>test_root_rollback_restores_previous_and_keeps_workflow_fence</t>
  </si>
  <si>
    <t>test_private_state_rejects_links_and_writable_ancestors</t>
  </si>
  <si>
    <t>test_config_file_rejects_untrusted_ancestor_even_when_parent_is_protected</t>
  </si>
  <si>
    <t>test_retirement_removes_only_original_apps_without_starting_infrastructure</t>
  </si>
  <si>
    <t>deploy/release/tests/test_protocol.py</t>
  </si>
  <si>
    <t>test_valid_release_is_accepted_without_changing_manifest</t>
  </si>
  <si>
    <t>https://github.com/Arden-Enterprise/Arden/blob/953be5418f5489f14cb01c919cb649c207637ec9/deploy/release/tests/test_protocol.py</t>
  </si>
  <si>
    <t>test_unknown_fields_or_image_components_are_rejected</t>
  </si>
  <si>
    <t>test_identity_and_numeric_fields_are_strict</t>
  </si>
  <si>
    <t>test_image_tags_must_bind_component_to_commit</t>
  </si>
  <si>
    <t>test_duplicate_json_keys_and_nonfinite_numbers_are_rejected</t>
  </si>
  <si>
    <t>test_environment_is_bound_to_forced_command</t>
  </si>
  <si>
    <t>test_plan_migrations_is_exact_and_bound_to_one_environment</t>
  </si>
  <si>
    <t>test_migration_reconciliation_is_exact_and_bound_to_a_new_workflow_attempt</t>
  </si>
  <si>
    <t>test_new_release_manifest_requires_canonical_ordered_inventory_and_matching_fingerprint</t>
  </si>
  <si>
    <t>test_schema_one_is_readable_only_as_legacy_stored_state</t>
  </si>
  <si>
    <t>test_ledger_comparison_uses_exact_prefix_hashes_and_rollout_class</t>
  </si>
  <si>
    <t>test_valid_saved_image_archive_is_accepted</t>
  </si>
  <si>
    <t>test_mutating_header_requires_a_separate_job_identity_envelope</t>
  </si>
  <si>
    <t>test_alternate_loader_metadata_is_rejected</t>
  </si>
  <si>
    <t>test_archive_requires_ownership_marker_for_safe_future_retention</t>
  </si>
  <si>
    <t>test_header_is_bounded_and_does_not_consume_upload_bytes</t>
  </si>
  <si>
    <t>test_malformed_nested_image_configuration_is_a_validation_failure</t>
  </si>
  <si>
    <t>test_tampered_archive_is_rejected</t>
  </si>
  <si>
    <t>test_archive_rejects_traversal_and_links_even_with_matching_checksum</t>
  </si>
  <si>
    <t>test_docker_config_must_match_expected_image_identity</t>
  </si>
  <si>
    <t>test_hidden_gnu_longname_metadata_cannot_bypass_outer_archive_policy</t>
  </si>
  <si>
    <t>deploy/release/tests/test_publication_upgrade.py</t>
  </si>
  <si>
    <t>test_exact_baseline_and_all_pending_work_are_inside_one_transaction</t>
  </si>
  <si>
    <t>https://github.com/Arden-Enterprise/Arden/blob/953be5418f5489f14cb01c919cb649c207637ec9/deploy/release/tests/test_publication_upgrade.py</t>
  </si>
  <si>
    <t>test_missing_duplicate_reordered_or_unexpected_inventory_is_rejected</t>
  </si>
  <si>
    <t>deploy/release/tests/test_receiver.py</t>
  </si>
  <si>
    <t>test_upload_validates_and_loads_without_activating</t>
  </si>
  <si>
    <t>https://github.com/Arden-Enterprise/Arden/blob/953be5418f5489f14cb01c919cb649c207637ec9/deploy/release/tests/test_receiver.py</t>
  </si>
  <si>
    <t>test_status_preserves_known_operator_receipts_in_existing_state</t>
  </si>
  <si>
    <t>test_status_rejects_malformed_operator_rollback_receipt</t>
  </si>
  <si>
    <t>test_interrupted_load_has_durable_intent_but_no_deploy_receipt</t>
  </si>
  <si>
    <t>test_receipt_write_failure_keeps_recoverable_upload_intent</t>
  </si>
  <si>
    <t>test_tampered_upload_never_loads_images_or_changes_active_release</t>
  </si>
  <si>
    <t>test_upload_reserves_expanded_image_space_before_loading</t>
  </si>
  <si>
    <t>test_deploy_requires_verified_uploaded_pair</t>
  </si>
  <si>
    <t>test_success_is_persisted_and_duplicate_request_does_not_replace_containers</t>
  </si>
  <si>
    <t>test_successful_same_image_rerun_refreshes_verified_time_and_attempt</t>
  </si>
  <si>
    <t>test_older_run_cannot_activate_after_a_newer_success</t>
  </si>
  <si>
    <t>test_partial_activation_failure_restores_previous_pair_and_reports_failure</t>
  </si>
  <si>
    <t>test_failed_recovery_keeps_pending_state_and_blocks_success</t>
  </si>
  <si>
    <t>test_unapproved_schema_never_replaces_the_app</t>
  </si>
  <si>
    <t>test_signed_plan_is_read_only_and_returns_only_safe_status_and_ids</t>
  </si>
  <si>
    <t>test_existing_schema_one_active_release_remains_readable_after_protocol_upgrade</t>
  </si>
  <si>
    <t>test_deploy_recomputes_plan_and_blocks_when_database_changes_after_preflight</t>
  </si>
  <si>
    <t>test_safe_migrations_finish_before_candidate_activation_and_produce_receipt</t>
  </si>
  <si>
    <t>test_migration_failure_keeps_app_unchanged_and_retry_reconciles_partial_progress</t>
  </si>
  <si>
    <t>test_production_requires_verified_staging_migration_receipt</t>
  </si>
  <si>
    <t>test_production_plan_resolves_only_the_exact_verified_staging_release</t>
  </si>
  <si>
    <t>test_production_rejects_corrupt_staging_state_before_considering_receipts</t>
  </si>
  <si>
    <t>test_production_plan_fails_closed_when_verified_stage_does_not_match_source_inventory</t>
  </si>
  <si>
    <t>test_app_activation_failure_after_expand_migration_recovers_previous_app</t>
  </si>
  <si>
    <t>test_production_promotes_same_verified_images_for_a_different_merge_commit</t>
  </si>
  <si>
    <t>test_legacy_or_forged_eligible_state_without_authenticated_build_cannot_promote</t>
  </si>
  <si>
    <t>test_wrong_tree_or_unverified_baseline_cannot_be_promoted</t>
  </si>
  <si>
    <t>test_older_than_one_day_staging_verification_requires_a_fresh_stage_run</t>
  </si>
  <si>
    <t>deploy/release/tests/test_retention.py</t>
  </si>
  <si>
    <t>test_other_environments_previous_and_pending_images_are_not_collected</t>
  </si>
  <si>
    <t>https://github.com/Arden-Enterprise/Arden/blob/953be5418f5489f14cb01c919cb649c207637ec9/deploy/release/tests/test_retention.py</t>
  </si>
  <si>
    <t>test_only_the_newest_recent_upload_is_retained_before_activation</t>
  </si>
  <si>
    <t>test_in_use_image_refusal_retains_receipt_for_operator_reconciliation</t>
  </si>
  <si>
    <t>test_portable_alias_of_production_previous_is_not_removed</t>
  </si>
  <si>
    <t>test_incomplete_load_is_reconciled_after_grace_and_journal_survives_missing_images</t>
  </si>
  <si>
    <t>Domain</t>
  </si>
  <si>
    <t>packages/domain/src/semantic-document.test.ts</t>
  </si>
  <si>
    <t>https://github.com/Arden-Enterprise/Arden/blob/953be5418f5489f14cb01c919cb649c207637ec9/packages/domain/src/semantic-document.test.ts</t>
  </si>
  <si>
    <t>UI</t>
  </si>
  <si>
    <t>packages/ui/tests/adminDetailIslands.test.ts</t>
  </si>
  <si>
    <t>shows the end date for a grant that expires</t>
  </si>
  <si>
    <t>UI model</t>
  </si>
  <si>
    <t>https://github.com/Arden-Enterprise/Arden/blob/953be5418f5489f14cb01c919cb649c207637ec9/packages/ui/tests/adminDetailIslands.test.ts</t>
  </si>
  <si>
    <t>shows the start date for an open-ended grant</t>
  </si>
  <si>
    <t>describes department and organization scopes</t>
  </si>
  <si>
    <t>does not label an unassigned organization administrator as awaiting assignment</t>
  </si>
  <si>
    <t>packages/ui/tests/apiClient.test.ts</t>
  </si>
  <si>
    <t>keeps a lost write response uncertain, without claiming the write failed</t>
  </si>
  <si>
    <t>https://github.com/Arden-Enterprise/Arden/blob/953be5418f5489f14cb01c919cb649c207637ec9/packages/ui/tests/apiClient.test.ts</t>
  </si>
  <si>
    <t>shows readable document errors while retaining the machine code</t>
  </si>
  <si>
    <t>uses Arden</t>
  </si>
  <si>
    <t>normalizes sessions from an older remote API without account setup state</t>
  </si>
  <si>
    <t>submits registration through the sign-up endpoint on web</t>
  </si>
  <si>
    <t>fetches invitation preview with encoded token</t>
  </si>
  <si>
    <t>deletes empty department through API client</t>
  </si>
  <si>
    <t>submits registration through the desktop bridge</t>
  </si>
  <si>
    <t>keeps desktop cookies inside the secure main-process bridge</t>
  </si>
  <si>
    <t>finishes desktop Google sign-in through the isolated main-process window</t>
  </si>
  <si>
    <t>creates the initial Arden password and refreshes the account state</t>
  </si>
  <si>
    <t>forwards update versions and clears encrypted desktop sessions after sign-out</t>
  </si>
  <si>
    <t>copies an exact private version through the authenticated web API</t>
  </si>
  <si>
    <t>omits the classification when none is chosen and accepts the server default (decision 0013)</t>
  </si>
  <si>
    <t>passes the idempotency key through the narrow desktop bridge</t>
  </si>
  <si>
    <t>does not treat an invalid or denied server response as a saved draft</t>
  </si>
  <si>
    <t>treats a lost response as uncertain, not as a confirmed failed create</t>
  </si>
  <si>
    <t>encodes a selected local PDF through the desktop bridge</t>
  </si>
  <si>
    <t>sends draft preconditions and idempotency through the desktop bridge</t>
  </si>
  <si>
    <t>binds a decision to the exact submitted snapshot and hash</t>
  </si>
  <si>
    <t>packages/ui/tests/ardenDocumentModel.test.ts</t>
  </si>
  <si>
    <t>rejects unversioned stored text instead of keeping a second canonical format</t>
  </si>
  <si>
    <t>https://github.com/Arden-Enterprise/Arden/blob/953be5418f5489f14cb01c919cb649c207637ec9/packages/ui/tests/ardenDocumentModel.test.ts</t>
  </si>
  <si>
    <t>round-trips supported blocks, stable ids, and inline formatting</t>
  </si>
  <si>
    <t>drops color and layout properties that are outside the fixed Arden format</t>
  </si>
  <si>
    <t>preserves styled text when an editor link has an unsupported scheme</t>
  </si>
  <si>
    <t>rejects malformed or unsupported versioned content</t>
  </si>
  <si>
    <t>packages/ui/tests/askArdenModel.test.ts</t>
  </si>
  <si>
    <t>keeps real citations navigable</t>
  </si>
  <si>
    <t>https://github.com/Arden-Enterprise/Arden/blob/953be5418f5489f14cb01c919cb649c207637ec9/packages/ui/tests/askArdenModel.test.ts</t>
  </si>
  <si>
    <t>marks an honest no-evidence response without inventing citations</t>
  </si>
  <si>
    <t>packages/ui/tests/cancellation.test.ts</t>
  </si>
  <si>
    <t>clears an unsent chat prompt without calling the AI</t>
  </si>
  <si>
    <t>https://github.com/Arden-Enterprise/Arden/blob/953be5418f5489f14cb01c919cb649c207637ec9/packages/ui/tests/cancellation.test.ts</t>
  </si>
  <si>
    <t>stops waiting, restores the prompt and ignores a late answer without corrupting the next request</t>
  </si>
  <si>
    <t>allows keeping or discarding selected note edits without a server write</t>
  </si>
  <si>
    <t>removes a never-saved note locally and clears its dirty state</t>
  </si>
  <si>
    <t>cancels a new reader group without saving or leaving its dirty guard active</t>
  </si>
  <si>
    <t>returns focus to creating a note when the last unsaved note is discarded</t>
  </si>
  <si>
    <t>returns focus to a reader-group row after closing or discarding its details</t>
  </si>
  <si>
    <t>clears department, invitation and reviewer forms without changing saved data</t>
  </si>
  <si>
    <t>packages/ui/tests/icons.test.ts</t>
  </si>
  <si>
    <t>maps every icon to a glyph available in the pinned Regular Rounded family</t>
  </si>
  <si>
    <t>https://github.com/Arden-Enterprise/Arden/blob/953be5418f5489f14cb01c919cb649c207637ec9/packages/ui/tests/icons.test.ts</t>
  </si>
  <si>
    <t>keeps decorative icons out of the accessible name and preserves requested size</t>
  </si>
  <si>
    <t>packages/ui/tests/invitationFeedback.test.ts</t>
  </si>
  <si>
    <t>returns an acceptance error for the shared signed-in and signed-out page area</t>
  </si>
  <si>
    <t>https://github.com/Arden-Enterprise/Arden/blob/953be5418f5489f14cb01c919cb649c207637ec9/packages/ui/tests/invitationFeedback.test.ts</t>
  </si>
  <si>
    <t>shows a success message when no error is present</t>
  </si>
  <si>
    <t>does not render empty feedback</t>
  </si>
  <si>
    <t>keeps an acceptance error visible after sign-in and leaves the retry action available</t>
  </si>
  <si>
    <t>does not call an invitation unavailable when its acceptance response is lost</t>
  </si>
  <si>
    <t>packages/ui/tests/invitationStatus.test.ts</t>
  </si>
  <si>
    <t>https://github.com/Arden-Enterprise/Arden/blob/953be5418f5489f14cb01c919cb649c207637ec9/packages/ui/tests/invitationStatus.test.ts</t>
  </si>
  <si>
    <t>packages/ui/tests/knowledgeAudience.test.ts</t>
  </si>
  <si>
    <t>https://github.com/Arden-Enterprise/Arden/blob/953be5418f5489f14cb01c919cb649c207637ec9/packages/ui/tests/knowledgeAudience.test.ts</t>
  </si>
  <si>
    <t>packages/ui/tests/knowledgeDocumentDetail.test.ts</t>
  </si>
  <si>
    <t>marks a future publication as upcoming</t>
  </si>
  <si>
    <t>https://github.com/Arden-Enterprise/Arden/blob/953be5418f5489f14cb01c919cb649c207637ec9/packages/ui/tests/knowledgeDocumentDetail.test.ts</t>
  </si>
  <si>
    <t>marks a publication whose validity ended as expired</t>
  </si>
  <si>
    <t>keeps an active publication effective</t>
  </si>
  <si>
    <t>packages/ui/tests/knowledgeLibrary.test.ts</t>
  </si>
  <si>
    <t>matches governed metadata used by the search list</t>
  </si>
  <si>
    <t>https://github.com/Arden-Enterprise/Arden/blob/953be5418f5489f14cb01c919cb649c207637ec9/packages/ui/tests/knowledgeLibrary.test.ts</t>
  </si>
  <si>
    <t>does not match unrelated content</t>
  </si>
  <si>
    <t>keeps private and in-review samples out of shared search</t>
  </si>
  <si>
    <t>packages/ui/tests/knowledgePreviewModel.test.ts</t>
  </si>
  <si>
    <t>blocks incomplete or private drafts from shared review</t>
  </si>
  <si>
    <t>https://github.com/Arden-Enterprise/Arden/blob/953be5418f5489f14cb01c919cb649c207637ec9/packages/ui/tests/knowledgePreviewModel.test.ts</t>
  </si>
  <si>
    <t>keeps submitted content independent from later draft edits</t>
  </si>
  <si>
    <t>keeps approval non-active until explicit index-ready activation</t>
  </si>
  <si>
    <t>does not submit an unchanged published sample again</t>
  </si>
  <si>
    <t>freezes classification separately from publication audience</t>
  </si>
  <si>
    <t>resubmits a revised draft as a new pending snapshot without replacing a publication</t>
  </si>
  <si>
    <t>requires a receiving owner for every transfer and revision</t>
  </si>
  <si>
    <t>packages/ui/tests/knowledgeStatus.test.ts</t>
  </si>
  <si>
    <t>rejects non-PDF, empty and oversized local files before upload</t>
  </si>
  <si>
    <t>https://github.com/Arden-Enterprise/Arden/blob/953be5418f5489f14cb01c919cb649c207637ec9/packages/ui/tests/knowledgeStatus.test.ts</t>
  </si>
  <si>
    <t>distinguishes a published snapshot from a later working version</t>
  </si>
  <si>
    <t>packages/ui/tests/libraryDisplay.test.ts</t>
  </si>
  <si>
    <t>derives the code from a leading title prefix and strips it</t>
  </si>
  <si>
    <t>https://github.com/Arden-Enterprise/Arden/blob/953be5418f5489f14cb01c919cb649c207637ec9/packages/ui/tests/libraryDisplay.test.ts</t>
  </si>
  <si>
    <t>prefers the stored document code and strips a matching prefix</t>
  </si>
  <si>
    <t>keeps a different prefix in the title when a stored code exists</t>
  </si>
  <si>
    <t>renders no code when neither a code nor a prefix exists</t>
  </si>
  <si>
    <t>does not treat an ordinary hyphenated phrase as a code</t>
  </si>
  <si>
    <t>packages/ui/tests/memberAdministration.test.ts</t>
  </si>
  <si>
    <t>keeps organization administrators available in the member manager</t>
  </si>
  <si>
    <t>https://github.com/Arden-Enterprise/Arden/blob/953be5418f5489f14cb01c919cb649c207637ec9/packages/ui/tests/memberAdministration.test.ts</t>
  </si>
  <si>
    <t>includes organization administrators whose department membership is affected by deletion</t>
  </si>
  <si>
    <t>does not classify an unassigned organization administrator as waiting for assignment</t>
  </si>
  <si>
    <t>shows active unassigned members only in the awaiting-assignment filter</t>
  </si>
  <si>
    <t>does not treat a custom role named Department Administrator as an organization admin</t>
  </si>
  <si>
    <t>keeps the assignment and access consequences of department deletion</t>
  </si>
  <si>
    <t>packages/ui/tests/membershipAssignment.test.ts</t>
  </si>
  <si>
    <t>keeps an active department-free member in the waiting room even with private workspace permission</t>
  </si>
  <si>
    <t>https://github.com/Arden-Enterprise/Arden/blob/953be5418f5489f14cb01c919cb649c207637ec9/packages/ui/tests/membershipAssignment.test.ts</t>
  </si>
  <si>
    <t>keeps the organization administrator exception</t>
  </si>
  <si>
    <t>does not send inactive memberships to the waiting room</t>
  </si>
  <si>
    <t>does not claim private workspace access when the server denies it</t>
  </si>
  <si>
    <t>uses a readable administrator label without exposing role codes</t>
  </si>
  <si>
    <t>packages/ui/tests/noteDraftModel.test.ts</t>
  </si>
  <si>
    <t>https://github.com/Arden-Enterprise/Arden/blob/953be5418f5489f14cb01c919cb649c207637ec9/packages/ui/tests/noteDraftModel.test.ts</t>
  </si>
  <si>
    <t>packages/ui/tests/organizationWorkflow.test.ts</t>
  </si>
  <si>
    <t>creates a normalized seven-day invitation without adding or mutating a member</t>
  </si>
  <si>
    <t>https://github.com/Arden-Enterprise/Arden/blob/953be5418f5489f14cb01c919cb649c207637ec9/packages/ui/tests/organizationWorkflow.test.ts</t>
  </si>
  <si>
    <t>accepts the matching account once and waits for department and role assignment</t>
  </si>
  <si>
    <t>rejects existing member emails regardless of casing and membership state</t>
  </si>
  <si>
    <t>rejects an expired invitation at the exact expiry boundary</t>
  </si>
  <si>
    <t>rejects the wrong account and an unavailable invitation</t>
  </si>
  <si>
    <t>rejects a missing or existing member identifier when accepting</t>
  </si>
  <si>
    <t>keeps repeated acceptance idempotent without creating a second membership</t>
  </si>
  <si>
    <t>renews an expired pending invitation for seven days without creating another invitation</t>
  </si>
  <si>
    <t>prevents resending an old invitation when a newer invitation is pending</t>
  </si>
  <si>
    <t>revokes an invitation and prevents acceptance or renewal</t>
  </si>
  <si>
    <t>treats accepted invitations as terminal for resend and revoke</t>
  </si>
  <si>
    <t>rejects a stale invitation if its email has since become a member</t>
  </si>
  <si>
    <t>fails closed when the invitation clock or expiry is invalid</t>
  </si>
  <si>
    <t>activates a pending member only after valid department and scoped role assignment</t>
  </si>
  <si>
    <t>rejects assignment to an unknown department or member</t>
  </si>
  <si>
    <t>rejects department-scoped Organization Admin and accepts organization scope</t>
  </si>
  <si>
    <t>protects the last active Organization Admin from demotion and suspension</t>
  </si>
  <si>
    <t>does not count a suspended admin as a replacement for the last active admin</t>
  </si>
  <si>
    <t>does not count an invalid department-scoped admin as a replacement</t>
  </si>
  <si>
    <t>does not count an admin without an explicit role scope as a replacement</t>
  </si>
  <si>
    <t>allows admin demotion and suspension once another active admin exists</t>
  </si>
  <si>
    <t>does not restore a suspended member merely by changing their assignment</t>
  </si>
  <si>
    <t>requires assignment before activating an unassigned member</t>
  </si>
  <si>
    <t>returns pending for missing departments and denied for unknown or suspended memberships</t>
  </si>
  <si>
    <t>denies a malformed department-scoped administrator configuration</t>
  </si>
  <si>
    <t>packages/ui/tests/pdfDocument.test.ts</t>
  </si>
  <si>
    <t>https://github.com/Arden-Enterprise/Arden/blob/953be5418f5489f14cb01c919cb649c207637ec9/packages/ui/tests/pdfDocument.test.ts</t>
  </si>
  <si>
    <t>packages/ui/tests/previewModel.test.ts</t>
  </si>
  <si>
    <t>starts with the valid four-department Figma sample</t>
  </si>
  <si>
    <t>https://github.com/Arden-Enterprise/Arden/blob/953be5418f5489f14cb01c919cb649c207637ec9/packages/ui/tests/previewModel.test.ts</t>
  </si>
  <si>
    <t>rejects duplicate departments and members without a department</t>
  </si>
  <si>
    <t>allows empty departments and pending members without premature assignments</t>
  </si>
  <si>
    <t>rejects a duplicate member email regardless of case</t>
  </si>
  <si>
    <t>allows one department and requires a valid active admin</t>
  </si>
  <si>
    <t>requires an explicit scope and does not count an unscoped admin</t>
  </si>
  <si>
    <t>requires an organization name and valid member email</t>
  </si>
  <si>
    <t>packages/ui/tests/privateNoteConflict.test.ts</t>
  </si>
  <si>
    <t>preserves unsaved edits and gives effective recovery after a note version conflict</t>
  </si>
  <si>
    <t>https://github.com/Arden-Enterprise/Arden/blob/953be5418f5489f14cb01c919cb649c207637ec9/packages/ui/tests/privateNoteConflict.test.ts</t>
  </si>
  <si>
    <t>packages/ui/tests/readerSelection.test.ts</t>
  </si>
  <si>
    <t>offers only the responsible department</t>
  </si>
  <si>
    <t>https://github.com/Arden-Enterprise/Arden/blob/953be5418f5489f14cb01c919cb649c207637ec9/packages/ui/tests/readerSelection.test.ts</t>
  </si>
  <si>
    <t>offers no department audience before a responsible department is chosen</t>
  </si>
  <si>
    <t>replaces the department audience when the organization audience is added, and the reverse</t>
  </si>
  <si>
    <t>does not duplicate a reader and removes one by id</t>
  </si>
  <si>
    <t>follows the organization or department audience</t>
  </si>
  <si>
    <t>keeps the current scope for groups only, defaulting to Organization</t>
  </si>
  <si>
    <t>always yields a selection the existing audience rules accept</t>
  </si>
  <si>
    <t>detects a groups-only selection</t>
  </si>
  <si>
    <t>uses the member primary department when the server reports one, ignoring the stored choice</t>
  </si>
  <si>
    <t>reports a missing primary department so submission stays blocked</t>
  </si>
  <si>
    <t>falls back to the stored choice for a server without the rule</t>
  </si>
  <si>
    <t>packages/ui/tests/userCopy.test.ts</t>
  </si>
  <si>
    <t>does not claim an index is ready in the empty chat</t>
  </si>
  <si>
    <t>https://github.com/Arden-Enterprise/Arden/blob/953be5418f5489f14cb01c919cb649c207637ec9/packages/ui/tests/userCopy.test.ts</t>
  </si>
  <si>
    <t>keeps the private-copy warning and reuses retry identity without showing request keys</t>
  </si>
  <si>
    <t>does not expose an internal exception in the page fallback</t>
  </si>
  <si>
    <t>lets an author keep editing or discard unsaved document changes without a write</t>
  </si>
  <si>
    <t>discards a new document form and starts the next form empty</t>
  </si>
  <si>
    <t>packages/ui/tests/workQueueModel.test.ts</t>
  </si>
  <si>
    <t>keeps urgency order and includes the review item in the queue</t>
  </si>
  <si>
    <t>https://github.com/Arden-Enterprise/Arden/blob/953be5418f5489f14cb01c919cb649c207637ec9/packages/ui/tests/workQueueModel.test.ts</t>
  </si>
  <si>
    <t>matches trimmed case-insensitive metadata</t>
  </si>
  <si>
    <t>combines search, type and status without mutating the fixture</t>
  </si>
  <si>
    <t>supports no-match and empty inputs</t>
  </si>
  <si>
    <t>packages/ui/tests/workspaceNavigation.test.ts</t>
  </si>
  <si>
    <t>shows Administration only to organization admins</t>
  </si>
  <si>
    <t>https://github.com/Arden-Enterprise/Arden/blob/953be5418f5489f14cb01c919cb649c207637ec9/packages/ui/tests/workspaceNavigation.test.ts</t>
  </si>
  <si>
    <t>keeps only connected destinations enabled for signed-in sessions</t>
  </si>
  <si>
    <t>enables every sample destination except planned integrations</t>
  </si>
  <si>
    <t>Tooling</t>
  </si>
  <si>
    <t>tools/pull-requests/conventions.test.mjs</t>
  </si>
  <si>
    <t>accept documented work types without a tool or agent namespace</t>
  </si>
  <si>
    <t>Tool/CLI</t>
  </si>
  <si>
    <t>https://github.com/Arden-Enterprise/Arden/blob/953be5418f5489f14cb01c919cb649c207637ec9/tools/pull-requests/conventions.test.mjs</t>
  </si>
  <si>
    <t>accept only the two exact deployment branches for release promotion PRs</t>
  </si>
  <si>
    <t>accept semantic release versions including prerelease/build suffixes</t>
  </si>
  <si>
    <t>reject malformed names, control characters and unknown work types</t>
  </si>
  <si>
    <t>enforce exact branch and title length boundaries</t>
  </si>
  <si>
    <t>accept breaking changes and Unicode summaries without multiline output</t>
  </si>
  <si>
    <t>only exempt the real Dependabot account on a Dependabot branch</t>
  </si>
  <si>
    <t>invalid runtime input returns errors instead of throwing</t>
  </si>
  <si>
    <t>CLI reports static messages and appropriate exit codes</t>
  </si>
  <si>
    <t>reject explicitly prohibited generic descriptions and bare dates</t>
  </si>
  <si>
    <t>tools/releases/identity.test.mjs</t>
  </si>
  <si>
    <t>job identity module is present</t>
  </si>
  <si>
    <t>https://github.com/Arden-Enterprise/Arden/blob/953be5418f5489f14cb01c919cb649c207637ec9/tools/releases/identity.test.mjs</t>
  </si>
  <si>
    <t>identity audience binds all request fields with stable canonical ordering</t>
  </si>
  <si>
    <t>identity retrieval uses the trusted runner endpoint and bound audience without redirects</t>
  </si>
  <si>
    <t>missing credentials, untrusted endpoints and oversized responses fail without returning proof</t>
  </si>
  <si>
    <t>tools/releases/migration-inventory.test.mjs</t>
  </si>
  <si>
    <t>migration inventory implementation is present</t>
  </si>
  <si>
    <t>https://github.com/Arden-Enterprise/Arden/blob/953be5418f5489f14cb01c919cb649c207637ec9/tools/releases/migration-inventory.test.mjs</t>
  </si>
  <si>
    <t>loader returns exact ordered entries and hashes the exact SQL bytes</t>
  </si>
  <si>
    <t>loader permits an explicitly reviewed compatible expand migration</t>
  </si>
  <si>
    <t>policy refresh records exact SQL bytes and detects an unreviewed line-ending change</t>
  </si>
  <si>
    <t>inventory fingerprint is canonical, order independent, and includes rollout class</t>
  </si>
  <si>
    <t>loader rejects missing and extra policy rows</t>
  </si>
  <si>
    <t>loader rejects duplicate IDs, malformed hashes, and invalid rollout classes</t>
  </si>
  <si>
    <t>loader rejects SQL whose bytes no longer match its reviewed policy checksum</t>
  </si>
  <si>
    <t>loader rejects unnumbered SQL files instead of silently omitting them</t>
  </si>
  <si>
    <t>checked-in policy keeps pending operator migrations blocked without banning future expand reviews</t>
  </si>
  <si>
    <t>refresh updates registered checksums only and refuses to register an unreviewed migration</t>
  </si>
  <si>
    <t>history check permits new SQL but rejects modifications and removals from the base</t>
  </si>
  <si>
    <t>history check rejects removing a migration present in the base</t>
  </si>
  <si>
    <t>expand policy rejects known destructive SQL while operator policy remains eligible for review</t>
  </si>
  <si>
    <t>tools/releases/release.test.mjs</t>
  </si>
  <si>
    <t>release code is present</t>
  </si>
  <si>
    <t>https://github.com/Arden-Enterprise/Arden/blob/953be5418f5489f14cb01c919cb649c207637ec9/tools/releases/release.test.mjs</t>
  </si>
  <si>
    <t>release metadata binds the complete migration policy inventory</t>
  </si>
  <si>
    <t>only public canonical push targets can obtain a deployment environment</t>
  </si>
  <si>
    <t>SSH uses fixed operations, pinned hosts and validated connection fields</t>
  </si>
  <si>
    <t>stale builds fail before a deployment call</t>
  </si>
  <si>
    <t>production promotion changes deployment identity without rebuilding images</t>
  </si>
  <si>
    <t>staging plans the exact source before upload and fences every mutating call</t>
  </si>
  <si>
    <t>a previous migration attempt is reconciled and replanned before upload</t>
  </si>
  <si>
    <t>a blocked or malformed staging plan stops before any upload</t>
  </si>
  <si>
    <t>production plans against its own verified staging artifact then promotes without upload or rebuild</t>
  </si>
  <si>
    <t>PR, fork and stale-head jobs cannot send migration or deployment requests</t>
  </si>
  <si>
    <t>preflight checks each environment with a read-only status request</t>
  </si>
  <si>
    <t>preflight refuses unavailable, incomplete or unresolved release state</t>
  </si>
  <si>
    <t>preflight accepts the operator</t>
  </si>
  <si>
    <t>tools/releases/transport.test.mjs</t>
  </si>
  <si>
    <t>request and binary payload arrive in order and receive a bounded result</t>
  </si>
  <si>
    <t>https://github.com/Arden-Enterprise/Arden/blob/953be5418f5489f14cb01c919cb649c207637ec9/tools/releases/transport.test.mjs</t>
  </si>
  <si>
    <t>early receiver rejection closes an in-progress upload without unhandled failures</t>
  </si>
  <si>
    <t>a bounded migration block keeps only its safe status and migration IDs</t>
  </si>
  <si>
    <t>untrusted receiver failure text is discarded</t>
  </si>
  <si>
    <t>hung or oversized receiver responses fail within the transport boundary</t>
  </si>
  <si>
    <t>a missing transport executable is a handled failure</t>
  </si>
  <si>
    <t>tools/remote/workflow.test.mjs</t>
  </si>
  <si>
    <t>writer uploads before startup and releases the same lease on Ctrl+C</t>
  </si>
  <si>
    <t>https://github.com/Arden-Enterprise/Arden/blob/953be5418f5489f14cb01c919cb649c207637ec9/tools/remote/workflow.test.mjs</t>
  </si>
  <si>
    <t>a rejected competing writer neither uploads nor releases another lease</t>
  </si>
  <si>
    <t>${failure} failure releases an acquired lease without leaving a frontend</t>
  </si>
  <si>
    <t>tunnel disconnect stops the frontend once and releases the writer</t>
  </si>
  <si>
    <t>disconnect during readiness never launches a frontend</t>
  </si>
  <si>
    <t>preview never reserves, uploads, starts, or releases the backend</t>
  </si>
  <si>
    <t>failed lease release reports automatic expiry and still removes signal handlers</t>
  </si>
  <si>
    <t>saved deletion produces a complete replacement manifest</t>
  </si>
  <si>
    <t>watch loop sends deletion-only updates, not just changed file contents</t>
  </si>
  <si>
    <t>disconnect drains the actual owned local frontend process</t>
  </si>
  <si>
    <t>source allowlist excludes frontend, private files, traversal, and generated data</t>
  </si>
  <si>
    <t>snapshot respects Git ignores and requires a complete backend</t>
  </si>
  <si>
    <t>fingerprint tolerates deleted optional manifests but rejects required deletions</t>
  </si>
  <si>
    <t>frontendCommand resolves standalone .exe directly and wraps js in node</t>
  </si>
  <si>
    <t>Arden-AI</t>
  </si>
  <si>
    <t>AI</t>
  </si>
  <si>
    <t>tests/test_answering.py</t>
  </si>
  <si>
    <t>Python unit/API</t>
  </si>
  <si>
    <t>https://github.com/Arden-Enterprise/Arden-AI/blob/cc0b4d2cf042be4d54c92abecd90f8ac7c1da3ec/tests/test_answering.py</t>
  </si>
  <si>
    <t>tests/test_answering_api.py</t>
  </si>
  <si>
    <t>test_answer_endpoint_requires_service_authentication</t>
  </si>
  <si>
    <t>https://github.com/Arden-Enterprise/Arden-AI/blob/cc0b4d2cf042be4d54c92abecd90f8ac7c1da3ec/tests/test_answering_api.py</t>
  </si>
  <si>
    <t>test_answer_endpoint_returns_honest_abstention</t>
  </si>
  <si>
    <t>tests/test_answering_provider.py</t>
  </si>
  <si>
    <t>test_chroma_filter_requires_organization_and_core_generation_allow_list</t>
  </si>
  <si>
    <t>https://github.com/Arden-Enterprise/Arden-AI/blob/cc0b4d2cf042be4d54c92abecd90f8ac7c1da3ec/tests/test_answering_provider.py</t>
  </si>
  <si>
    <t>tests/test_architecture.py</t>
  </si>
  <si>
    <t>test_layer_dependencies_point_inward</t>
  </si>
  <si>
    <t>https://github.com/Arden-Enterprise/Arden-AI/blob/cc0b4d2cf042be4d54c92abecd90f8ac7c1da3ec/tests/test_architecture.py</t>
  </si>
  <si>
    <t>tests/test_chroma_provider.py</t>
  </si>
  <si>
    <t>test_chroma_endpoint_accepts_private_http_and_https_hosts</t>
  </si>
  <si>
    <t>https://github.com/Arden-Enterprise/Arden-AI/blob/cc0b4d2cf042be4d54c92abecd90f8ac7c1da3ec/tests/test_chroma_provider.py</t>
  </si>
  <si>
    <t>test_chroma_endpoint_rejects_credentials_and_paths</t>
  </si>
  <si>
    <t>tests/test_chunking.py</t>
  </si>
  <si>
    <t>https://github.com/Arden-Enterprise/Arden-AI/blob/cc0b4d2cf042be4d54c92abecd90f8ac7c1da3ec/tests/test_chunking.py</t>
  </si>
  <si>
    <t>tests/test_compiler.py</t>
  </si>
  <si>
    <t>test_compiler_is_deterministic_and_maps_unicode_offsets</t>
  </si>
  <si>
    <t>https://github.com/Arden-Enterprise/Arden-AI/blob/cc0b4d2cf042be4d54c92abecd90f8ac7c1da3ec/tests/test_compiler.py</t>
  </si>
  <si>
    <t>test_compiler_preserves_structures_without_exposing_asset_ids</t>
  </si>
  <si>
    <t>test_document_rejects_duplicate_ids_and_unsafe_links</t>
  </si>
  <si>
    <t>tests/test_contracts.py</t>
  </si>
  <si>
    <t>https://github.com/Arden-Enterprise/Arden-AI/blob/cc0b4d2cf042be4d54c92abecd90f8ac7c1da3ec/tests/test_contracts.py</t>
  </si>
  <si>
    <t>tests/test_health.py</t>
  </si>
  <si>
    <t>test_health_endpoints</t>
  </si>
  <si>
    <t>https://github.com/Arden-Enterprise/Arden-AI/blob/cc0b4d2cf042be4d54c92abecd90f8ac7c1da3ec/tests/test_health.py</t>
  </si>
  <si>
    <t>tests/test_indexing.py</t>
  </si>
  <si>
    <t>test_indexer_writes_candidate_before_returning_manifest</t>
  </si>
  <si>
    <t>https://github.com/Arden-Enterprise/Arden-AI/blob/cc0b4d2cf042be4d54c92abecd90f8ac7c1da3ec/tests/test_indexing.py</t>
  </si>
  <si>
    <t>tests/test_indexing_api.py</t>
  </si>
  <si>
    <t>test_index_generation_requires_service_authentication</t>
  </si>
  <si>
    <t>https://github.com/Arden-Enterprise/Arden-AI/blob/cc0b4d2cf042be4d54c92abecd90f8ac7c1da3ec/tests/test_indexing_api.py</t>
  </si>
  <si>
    <t>test_index_generation_returns_candidate_manifest</t>
  </si>
  <si>
    <t>tests/test_pdf.py</t>
  </si>
  <si>
    <t>test_pdf_pages_compile_to_deterministic_markdown_with_source_map</t>
  </si>
  <si>
    <t>https://github.com/Arden-Enterprise/Arden-AI/blob/cc0b4d2cf042be4d54c92abecd90f8ac7c1da3ec/tests/test_pdf.py</t>
  </si>
  <si>
    <t>test_pdf_pages_reject_image_only_documents</t>
  </si>
  <si>
    <t>tests/test_schemas.py</t>
  </si>
  <si>
    <t>test_checked_in_contract_schemas_are_current</t>
  </si>
  <si>
    <t>https://github.com/Arden-Enterprise/Arden-AI/blob/cc0b4d2cf042be4d54c92abecd90f8ac7c1da3ec/tests/test_schemas.py</t>
  </si>
  <si>
    <t>tests/test_settings.py</t>
  </si>
  <si>
    <t>test_openai_answering_defaults_to_luna_with_high_reasoning</t>
  </si>
  <si>
    <t>https://github.com/Arden-Enterprise/Arden-AI/blob/cc0b4d2cf042be4d54c92abecd90f8ac7c1da3ec/tests/test_settings.py</t>
  </si>
  <si>
    <t>Updated reporting context: feat/workspace-shell-polish checkout reported 387 tests, 380 passed, seven skipped, zero failed. The 104 curated Unit Test cases retain independent execution fields.</t>
  </si>
  <si>
    <t>Grok checkout summary supplied by project team (31/10/2026)</t>
  </si>
  <si>
    <t>Local Node/Vitest test fixtures. Seven live API integration tests were skipped: 1 requires four ARDEN_TEST_SUPABASE_* auth values and 6 require ARDEN_TEST_DATABASE_URL pointing to an isolated superuser-owned arden_test_* PostgreSQL database. Checkout reports 380 passed, 7 skipped, 0 failed; curated FPT cases have no individual run receipt.</t>
  </si>
  <si>
    <t>Checkout: 380 passed, 7 skipped, 0 failed / 387 total. The 104 unit cases have no per-case results.</t>
  </si>
  <si>
    <t>Checkout</t>
  </si>
  <si>
    <t>Skipped</t>
  </si>
  <si>
    <t>Remote</t>
  </si>
  <si>
    <t>Release/PR</t>
  </si>
  <si>
    <t>TOTAL</t>
  </si>
  <si>
    <t>ACTIVE group member</t>
  </si>
  <si>
    <t>No group membership</t>
  </si>
  <si>
    <t>REVOKED group membership</t>
  </si>
  <si>
    <t>SUSPENDED actor</t>
  </si>
  <si>
    <t>CURRENT pointer; legacy dates inverted</t>
  </si>
  <si>
    <t>ORGANIZATION_ALL audience; org matches</t>
  </si>
  <si>
    <t>DEPARTMENT_ALL audience; wrong department</t>
  </si>
  <si>
    <t>Reviewer role without reader scope</t>
  </si>
  <si>
    <t>true: readable</t>
  </si>
  <si>
    <t>false: denied</t>
  </si>
  <si>
    <t>true: current pointer wins</t>
  </si>
  <si>
    <t>Ordinary reviewer with live matching grant</t>
  </si>
  <si>
    <t>Author reviews own ordinary submission</t>
  </si>
  <si>
    <t>Restricted class; no specialist level</t>
  </si>
  <si>
    <t>Org Admin self-review, no grant</t>
  </si>
  <si>
    <t>Dept reviewer on own department snapshot</t>
  </si>
  <si>
    <t>Expired reviewer grant</t>
  </si>
  <si>
    <t>Org Admin final authority</t>
  </si>
  <si>
    <t>true: authorized</t>
  </si>
  <si>
    <t>true: admin exception</t>
  </si>
  <si>
    <t>Immutable snapshot and enforceable audience</t>
  </si>
  <si>
    <t>Audience is unenforceable</t>
  </si>
  <si>
    <t>Responsible department = author department</t>
  </si>
  <si>
    <t>Different department chosen</t>
  </si>
  <si>
    <t>Disjoint scopes in submission</t>
  </si>
  <si>
    <t>Breadth not explicitly LIMITED</t>
  </si>
  <si>
    <t>Legacy organization-wide submission</t>
  </si>
  <si>
    <t>true: can submit</t>
  </si>
  <si>
    <t>true: correct scope</t>
  </si>
  <si>
    <t>legacy transition allowed</t>
  </si>
  <si>
    <t>Final authorized one-step APPROVE</t>
  </si>
  <si>
    <t>Wrong snapshot version</t>
  </si>
  <si>
    <t>Content hash changed</t>
  </si>
  <si>
    <t>Inactive or mismatched grant</t>
  </si>
  <si>
    <t>Unenforceable audience</t>
  </si>
  <si>
    <t>REJECT with reason</t>
  </si>
  <si>
    <t>Org Admin self-approves</t>
  </si>
  <si>
    <t>publication preparation intent</t>
  </si>
  <si>
    <t>DENIED: STALE_SNAPSHOT</t>
  </si>
  <si>
    <t>DENIED: NOT_AUTHORIZED</t>
  </si>
  <si>
    <t>DENIED</t>
  </si>
  <si>
    <t>no publication intent</t>
  </si>
  <si>
    <t>authorized admin exception</t>
  </si>
  <si>
    <t>Live matching reviewer</t>
  </si>
  <si>
    <t>Invalid-audience submission</t>
  </si>
  <si>
    <t>Org Admin own pending submission</t>
  </si>
  <si>
    <t>Live matching classification/team grant</t>
  </si>
  <si>
    <t>Restricted without specialist</t>
  </si>
  <si>
    <t>Org-wide submission; department reviewer</t>
  </si>
  <si>
    <t>Inactive reviewer or malformed policy data</t>
  </si>
  <si>
    <t>Duplicate joins and newer submissions</t>
  </si>
  <si>
    <t>only authorized pending rows</t>
  </si>
  <si>
    <t>remains visible to reject</t>
  </si>
  <si>
    <t>visible without grant</t>
  </si>
  <si>
    <t>visible</t>
  </si>
  <si>
    <t>hidden</t>
  </si>
  <si>
    <t>fail closed</t>
  </si>
  <si>
    <t>deduped newest first</t>
  </si>
  <si>
    <t>Lease 300s default</t>
  </si>
  <si>
    <t>Lease shorter than request margin</t>
  </si>
  <si>
    <t>Superseded generation on complete</t>
  </si>
  <si>
    <t>One ready semantic snapshot job</t>
  </si>
  <si>
    <t>Integrity-checked PDF snapshot</t>
  </si>
  <si>
    <t>No ready job</t>
  </si>
  <si>
    <t>returns 300 seconds</t>
  </si>
  <si>
    <t>throws config error</t>
  </si>
  <si>
    <t>nonretryable superseded failure</t>
  </si>
  <si>
    <t>indexes; complete activates atomically</t>
  </si>
  <si>
    <t>base64 payload roundtrips</t>
  </si>
  <si>
    <t>idle without side effects</t>
  </si>
  <si>
    <t>Store and read Unicode text</t>
  </si>
  <si>
    <t>Read with incorrect SHA-256</t>
  </si>
  <si>
    <t>Path traversal reference</t>
  </si>
  <si>
    <t>Delete opaque object, read again</t>
  </si>
  <si>
    <t>Store PDF bytes; readPdf</t>
  </si>
  <si>
    <t>Read PDF as text</t>
  </si>
  <si>
    <t>roundtrip; hash verified</t>
  </si>
  <si>
    <t>integrity check failure</t>
  </si>
  <si>
    <t>invalid private URI</t>
  </si>
  <si>
    <t>read rejects after deletion</t>
  </si>
  <si>
    <t>byte-identical output</t>
  </si>
  <si>
    <t>explicit PDF/text rejection</t>
  </si>
  <si>
    <t>Bounded audience-group edit</t>
  </si>
  <si>
    <t>Shared draft with idempotency key</t>
  </si>
  <si>
    <t>PDF upload on specific route</t>
  </si>
  <si>
    <t>Missing or misplaced idempotency key</t>
  </si>
  <si>
    <t>Existing private note and session routes</t>
  </si>
  <si>
    <t>Known author/review/admin route</t>
  </si>
  <si>
    <t>Method/path/precondition confusion</t>
  </si>
  <si>
    <t>allowed with precondition</t>
  </si>
  <si>
    <t>allowed</t>
  </si>
  <si>
    <t>larger body allowed</t>
  </si>
  <si>
    <t>blocked</t>
  </si>
  <si>
    <t>Valid IDs, formatting and links</t>
  </si>
  <si>
    <t>Missing stable block ID</t>
  </si>
  <si>
    <t>Duplicate stable IDs</t>
  </si>
  <si>
    <t>New plain text input</t>
  </si>
  <si>
    <t>Raw plain text parsed as stored doc</t>
  </si>
  <si>
    <t>Unsafe link URL</t>
  </si>
  <si>
    <t>Unknown canonical property</t>
  </si>
  <si>
    <t>round-trip identical</t>
  </si>
  <si>
    <t>invalid document</t>
  </si>
  <si>
    <t>normalizes into blocks</t>
  </si>
  <si>
    <t>INVALID_PREFIX</t>
  </si>
  <si>
    <t>Edit then switch back</t>
  </si>
  <si>
    <t>Save selected note while second dirty</t>
  </si>
  <si>
    <t>Revert edit to saved value</t>
  </si>
  <si>
    <t>Create new note while prior draft dirty</t>
  </si>
  <si>
    <t>Reset active session</t>
  </si>
  <si>
    <t>Select unknown note ID</t>
  </si>
  <si>
    <t>Discard only selected draft</t>
  </si>
  <si>
    <t>Remove never-saved note</t>
  </si>
  <si>
    <t>Success / allow</t>
  </si>
  <si>
    <t>Denied / invalid</t>
  </si>
  <si>
    <t>Exception / error</t>
  </si>
  <si>
    <t>No side effect</t>
  </si>
  <si>
    <t>State preserved</t>
  </si>
  <si>
    <t>Deterministic output</t>
  </si>
  <si>
    <t>Other verified assertion</t>
  </si>
  <si>
    <t>PENDING expires tomorrow</t>
  </si>
  <si>
    <t>PENDING expired yesterday</t>
  </si>
  <si>
    <t>Server ACCEPTED or REVOKED</t>
  </si>
  <si>
    <t>Unknown status</t>
  </si>
  <si>
    <t>Mixed list with duplicate joins</t>
  </si>
  <si>
    <t>PENDING</t>
  </si>
  <si>
    <t>EXPIRED</t>
  </si>
  <si>
    <t>server state retained</t>
  </si>
  <si>
    <t>maps to REVOKED</t>
  </si>
  <si>
    <t>each counted once; pending first</t>
  </si>
  <si>
    <t>Retrieved allowed chunk + cited generator</t>
  </si>
  <si>
    <t>Retrieved chunk from other generation</t>
  </si>
  <si>
    <t>Retriever returns zero chunks</t>
  </si>
  <si>
    <t>ANSWERED; citation grounded</t>
  </si>
  <si>
    <t>throws outside allow-list</t>
  </si>
  <si>
    <t>INSUFFICIENT_EVIDENCE; no citation</t>
  </si>
  <si>
    <t>Chunk text with overlap below size</t>
  </si>
  <si>
    <t>Overlap &gt;= chunk size</t>
  </si>
  <si>
    <t>offsets and parent IDs preserved</t>
  </si>
  <si>
    <t>error: overlap must be smaller</t>
  </si>
  <si>
    <t>Valid exact camelCase payload</t>
  </si>
  <si>
    <t>Unexpected callbackUrl property</t>
  </si>
  <si>
    <t>Future contractVersion</t>
  </si>
  <si>
    <t>Snapshot text/hash disagree</t>
  </si>
  <si>
    <t>Raw PDF bytes match hash</t>
  </si>
  <si>
    <t>Export generated schema</t>
  </si>
  <si>
    <t>parsed UUID and content</t>
  </si>
  <si>
    <t>validation error</t>
  </si>
  <si>
    <t>pdf_bytes matches input</t>
  </si>
  <si>
    <t>concrete contract objects</t>
  </si>
  <si>
    <t>PDF block with page number</t>
  </si>
  <si>
    <t>Page stored only on parent block</t>
  </si>
  <si>
    <t>Non-PDF block</t>
  </si>
  <si>
    <t>source PDF page returned</t>
  </si>
  <si>
    <t>parent page returned</t>
  </si>
  <si>
    <t>no PDF navigation page</t>
  </si>
  <si>
    <t>Organization and department scopes</t>
  </si>
  <si>
    <t>Switch ORGANIZATION to DEPARTMENT</t>
  </si>
  <si>
    <t>Empty/unknown/duplicate selected audiences</t>
  </si>
  <si>
    <t>only matching managed options</t>
  </si>
  <si>
    <t>ALL_MEMBERS removed</t>
  </si>
  <si>
    <t>selection rejected</t>
  </si>
  <si>
    <t>Known loopback/local DB</t>
  </si>
  <si>
    <t>External DB binding</t>
  </si>
  <si>
    <t>Synthetic example.test identities</t>
  </si>
  <si>
    <t>Unknown account sign-in</t>
  </si>
  <si>
    <t>Revoke in-memory session</t>
  </si>
  <si>
    <t>Runtime non-test database</t>
  </si>
  <si>
    <t>configuration accepted</t>
  </si>
  <si>
    <t>configuration rejected</t>
  </si>
  <si>
    <t>accounts accepted</t>
  </si>
  <si>
    <t>INVALID_CREDENTIALS</t>
  </si>
  <si>
    <t>resolves unauthenticated</t>
  </si>
  <si>
    <t>rejects local-only target</t>
  </si>
  <si>
    <t>Citation page changes</t>
  </si>
  <si>
    <t>First page and unsafe filename</t>
  </si>
  <si>
    <t>viewer identity changes</t>
  </si>
  <si>
    <t>stable first-page identity; safe name</t>
  </si>
  <si>
    <t>Text and PDF requests</t>
  </si>
  <si>
    <t>Strict v1 manifest and valid digest</t>
  </si>
  <si>
    <t>Identity drift or wrong chunk digest</t>
  </si>
  <si>
    <t>MIME explicit; identity preserved</t>
  </si>
  <si>
    <t>manifest accepted</t>
  </si>
  <si>
    <t>manifest rejected</t>
  </si>
  <si>
    <t>Khôi</t>
  </si>
  <si>
    <t>Quốc Anh</t>
  </si>
  <si>
    <t>Hưng</t>
  </si>
  <si>
    <t>Kiệt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</si>
</sst>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\-??_);_(@_)"/>
    <numFmt numFmtId="165" formatCode="_(* #,##0_);_(* \(#,##0\);_(* \-_);_(@_)"/>
    <numFmt numFmtId="166" formatCode="_(\$* #,##0.00_);_(\$* \(#,##0.00\);_(\$* \-??_);_(@_)"/>
    <numFmt numFmtId="167" formatCode="_(\$* #,##0_);_(\$* \(#,##0\);_(\$* \-_);_(@_)"/>
    <numFmt numFmtId="168" formatCode="dd/mm/yyyy"/>
    <numFmt numFmtId="169" formatCode="d\-mmm\-yy;@"/>
    <numFmt numFmtId="170" formatCode="[$-409]d\-mmm\-yy"/>
    <numFmt numFmtId="171" formatCode="mm/dd"/>
  </numFmts>
  <fonts count="44">
    <font>
      <sz val="10"/>
      <name val="Arial"/>
      <family val="2"/>
    </font>
    <font>
      <u/>
      <sz val="11"/>
      <color rgb="FF0000FF"/>
      <name val="ＭＳ Ｐゴシック"/>
      <family val="3"/>
    </font>
    <font>
      <sz val="10"/>
      <name val="Arial"/>
    </font>
    <font>
      <sz val="11"/>
      <name val="ＭＳ Ｐゴシック"/>
      <family val="3"/>
    </font>
    <font>
      <sz val="9"/>
      <name val="ＭＳ ゴシック"/>
      <family val="3"/>
    </font>
    <font>
      <sz val="11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i/>
      <sz val="11"/>
      <name val="Tahoma"/>
      <family val="2"/>
    </font>
    <font>
      <sz val="10.5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u/>
      <sz val="8"/>
      <color rgb="FF0000FF"/>
      <name val="Tahoma"/>
      <family val="2"/>
    </font>
    <font>
      <u/>
      <sz val="10"/>
      <color rgb="FF0000FF"/>
      <name val="Tahoma"/>
      <family val="2"/>
    </font>
    <font>
      <b/>
      <sz val="8"/>
      <color rgb="FFFFFFFF"/>
      <name val="Tahoma"/>
      <family val="2"/>
    </font>
    <font>
      <sz val="10"/>
      <color rgb="FF00000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i/>
      <sz val="8"/>
      <color rgb="FF000000"/>
      <name val="Tahoma"/>
      <family val="2"/>
    </font>
    <font>
      <sz val="8"/>
      <color rgb="FFFFFFFF"/>
      <name val="Tahoma"/>
      <family val="2"/>
    </font>
    <font>
      <sz val="8"/>
      <color rgb="FF008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color rgb="FF000000"/>
      <name val="Tahoma"/>
      <family val="3"/>
    </font>
    <font>
      <b/>
      <sz val="8"/>
      <color rgb="FFFFFFFF"/>
      <name val="Tahoma"/>
      <family val="3"/>
    </font>
    <font>
      <sz val="8"/>
      <color rgb="FF000000"/>
      <name val="Tahoma"/>
      <family val="3"/>
    </font>
    <font>
      <b/>
      <sz val="9"/>
      <color rgb="FFFFFFFF"/>
      <name val="Tahoma"/>
      <family val="3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3"/>
    </font>
  </fonts>
  <fills count="8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FF9900"/>
      </patternFill>
    </fill>
    <fill>
      <patternFill patternType="solid">
        <fgColor rgb="FFF0F0F0"/>
      </patternFill>
    </fill>
  </fills>
  <borders count="6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medium">
        <color rgb="FFFFFFFF"/>
      </bottom>
      <diagonal/>
    </border>
    <border>
      <left/>
      <right/>
      <top style="double">
        <color auto="1"/>
      </top>
      <bottom style="medium">
        <color rgb="FFFFFFFF"/>
      </bottom>
      <diagonal/>
    </border>
    <border>
      <left/>
      <right style="double">
        <color auto="1"/>
      </right>
      <top style="double">
        <color auto="1"/>
      </top>
      <bottom style="medium">
        <color rgb="FFFFFFFF"/>
      </bottom>
      <diagonal/>
    </border>
    <border>
      <left style="double">
        <color auto="1"/>
      </left>
      <right style="thin">
        <color auto="1"/>
      </right>
      <top style="medium">
        <color rgb="FFFFFFFF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</borders>
  <cellStyleXfs count="14">
    <xf numFmtId="0" fontId="0" fillId="0" borderId="0"/>
    <xf numFmtId="0" fontId="1" fillId="0" borderId="0" applyBorder="0" applyProtection="0">
      <alignment vertical="center"/>
    </xf>
    <xf numFmtId="164" fontId="2" fillId="0" borderId="0" applyBorder="0" applyAlignment="0" applyProtection="0"/>
    <xf numFmtId="165" fontId="2" fillId="0" borderId="0" applyBorder="0" applyAlignment="0" applyProtection="0"/>
    <xf numFmtId="166" fontId="2" fillId="0" borderId="0" applyBorder="0" applyAlignment="0" applyProtection="0"/>
    <xf numFmtId="167" fontId="2" fillId="0" borderId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" fillId="0" borderId="0" applyBorder="0" applyAlignment="0" applyProtection="0"/>
    <xf numFmtId="0" fontId="4" fillId="0" borderId="0"/>
  </cellStyleXfs>
  <cellXfs count="443">
    <xf numFmtId="0" fontId="0" fillId="0" borderId="0" xfId="0"/>
    <xf numFmtId="0" fontId="11" fillId="3" borderId="2" xfId="10" applyFont="1" applyFill="1" applyBorder="1" applyAlignment="1">
      <alignment horizontal="left"/>
    </xf>
    <xf numFmtId="0" fontId="5" fillId="2" borderId="0" xfId="6" applyFont="1" applyFill="1">
      <alignment vertical="center"/>
    </xf>
    <xf numFmtId="0" fontId="6" fillId="2" borderId="0" xfId="6" applyFont="1" applyFill="1" applyAlignment="1">
      <alignment horizontal="center"/>
    </xf>
    <xf numFmtId="0" fontId="7" fillId="2" borderId="0" xfId="6" applyFont="1" applyFill="1">
      <alignment vertical="center"/>
    </xf>
    <xf numFmtId="0" fontId="8" fillId="2" borderId="0" xfId="6" applyFont="1" applyFill="1" applyAlignment="1">
      <alignment horizontal="justify"/>
    </xf>
    <xf numFmtId="0" fontId="9" fillId="2" borderId="0" xfId="6" applyFont="1" applyFill="1">
      <alignment vertical="center"/>
    </xf>
    <xf numFmtId="0" fontId="10" fillId="2" borderId="0" xfId="6" applyFont="1" applyFill="1" applyAlignment="1">
      <alignment horizontal="justify"/>
    </xf>
    <xf numFmtId="0" fontId="10" fillId="2" borderId="0" xfId="6" applyFont="1" applyFill="1" applyAlignment="1">
      <alignment horizontal="justify" wrapText="1"/>
    </xf>
    <xf numFmtId="0" fontId="10" fillId="2" borderId="0" xfId="6" applyFont="1" applyFill="1" applyAlignment="1">
      <alignment horizontal="left" wrapText="1"/>
    </xf>
    <xf numFmtId="0" fontId="12" fillId="2" borderId="0" xfId="6" applyFont="1" applyFill="1" applyAlignment="1">
      <alignment horizontal="justify"/>
    </xf>
    <xf numFmtId="0" fontId="13" fillId="2" borderId="0" xfId="6" applyFont="1" applyFill="1">
      <alignment vertical="center"/>
    </xf>
    <xf numFmtId="0" fontId="14" fillId="2" borderId="0" xfId="6" applyFont="1" applyFill="1" applyAlignment="1">
      <alignment horizontal="justify"/>
    </xf>
    <xf numFmtId="0" fontId="11" fillId="2" borderId="0" xfId="6" applyFont="1" applyFill="1" applyAlignment="1">
      <alignment horizontal="justify"/>
    </xf>
    <xf numFmtId="0" fontId="8" fillId="2" borderId="0" xfId="6" applyFont="1" applyFill="1">
      <alignment vertical="center"/>
    </xf>
    <xf numFmtId="0" fontId="10" fillId="0" borderId="0" xfId="10" applyFont="1" applyAlignment="1">
      <alignment horizontal="left"/>
    </xf>
    <xf numFmtId="0" fontId="10" fillId="0" borderId="0" xfId="10" applyFont="1"/>
    <xf numFmtId="0" fontId="15" fillId="0" borderId="1" xfId="10" applyFont="1" applyBorder="1" applyAlignment="1">
      <alignment horizontal="center" vertical="center"/>
    </xf>
    <xf numFmtId="0" fontId="10" fillId="0" borderId="0" xfId="10" applyFont="1" applyAlignment="1">
      <alignment horizontal="center" vertical="center"/>
    </xf>
    <xf numFmtId="0" fontId="17" fillId="3" borderId="0" xfId="10" applyFont="1" applyFill="1" applyAlignment="1">
      <alignment horizontal="left"/>
    </xf>
    <xf numFmtId="0" fontId="18" fillId="0" borderId="0" xfId="10" applyFont="1" applyAlignment="1">
      <alignment horizontal="left"/>
    </xf>
    <xf numFmtId="0" fontId="10" fillId="3" borderId="0" xfId="10" applyFont="1" applyFill="1"/>
    <xf numFmtId="0" fontId="10" fillId="0" borderId="3" xfId="10" applyFont="1" applyBorder="1"/>
    <xf numFmtId="168" fontId="12" fillId="0" borderId="3" xfId="6" applyNumberFormat="1" applyFont="1" applyBorder="1" applyAlignment="1"/>
    <xf numFmtId="0" fontId="11" fillId="3" borderId="2" xfId="10" applyFont="1" applyFill="1" applyBorder="1" applyAlignment="1">
      <alignment vertical="center"/>
    </xf>
    <xf numFmtId="0" fontId="12" fillId="0" borderId="3" xfId="10" applyFont="1" applyBorder="1" applyAlignment="1">
      <alignment horizontal="left"/>
    </xf>
    <xf numFmtId="0" fontId="11" fillId="0" borderId="0" xfId="10" applyFont="1"/>
    <xf numFmtId="0" fontId="17" fillId="0" borderId="0" xfId="10" applyFont="1" applyAlignment="1">
      <alignment horizontal="left"/>
    </xf>
    <xf numFmtId="0" fontId="11" fillId="0" borderId="0" xfId="10" applyFont="1" applyAlignment="1">
      <alignment horizontal="left"/>
    </xf>
    <xf numFmtId="169" fontId="19" fillId="4" borderId="4" xfId="10" applyNumberFormat="1" applyFont="1" applyFill="1" applyBorder="1" applyAlignment="1">
      <alignment horizontal="center" vertical="center"/>
    </xf>
    <xf numFmtId="0" fontId="19" fillId="4" borderId="5" xfId="10" applyFont="1" applyFill="1" applyBorder="1" applyAlignment="1">
      <alignment horizontal="center" vertical="center"/>
    </xf>
    <xf numFmtId="0" fontId="19" fillId="4" borderId="6" xfId="10" applyFont="1" applyFill="1" applyBorder="1" applyAlignment="1">
      <alignment horizontal="center" vertical="center"/>
    </xf>
    <xf numFmtId="0" fontId="10" fillId="0" borderId="0" xfId="10" applyFont="1" applyAlignment="1">
      <alignment vertical="center"/>
    </xf>
    <xf numFmtId="168" fontId="12" fillId="0" borderId="7" xfId="6" applyNumberFormat="1" applyFont="1" applyBorder="1" applyAlignment="1">
      <alignment vertical="top" wrapText="1"/>
    </xf>
    <xf numFmtId="49" fontId="10" fillId="0" borderId="8" xfId="10" applyNumberFormat="1" applyFont="1" applyBorder="1" applyAlignment="1">
      <alignment vertical="top"/>
    </xf>
    <xf numFmtId="0" fontId="10" fillId="0" borderId="8" xfId="10" applyFont="1" applyBorder="1" applyAlignment="1">
      <alignment vertical="top"/>
    </xf>
    <xf numFmtId="170" fontId="10" fillId="0" borderId="8" xfId="6" applyNumberFormat="1" applyFont="1" applyBorder="1" applyAlignment="1">
      <alignment vertical="top" wrapText="1"/>
    </xf>
    <xf numFmtId="0" fontId="12" fillId="0" borderId="9" xfId="6" applyFont="1" applyBorder="1" applyAlignment="1">
      <alignment vertical="top" wrapText="1"/>
    </xf>
    <xf numFmtId="0" fontId="10" fillId="0" borderId="0" xfId="10" applyFont="1" applyAlignment="1">
      <alignment vertical="top"/>
    </xf>
    <xf numFmtId="169" fontId="10" fillId="0" borderId="7" xfId="10" applyNumberFormat="1" applyFont="1" applyBorder="1" applyAlignment="1">
      <alignment vertical="top"/>
    </xf>
    <xf numFmtId="0" fontId="10" fillId="0" borderId="9" xfId="10" applyFont="1" applyBorder="1" applyAlignment="1">
      <alignment vertical="top"/>
    </xf>
    <xf numFmtId="169" fontId="10" fillId="0" borderId="10" xfId="10" applyNumberFormat="1" applyFont="1" applyBorder="1" applyAlignment="1">
      <alignment vertical="top"/>
    </xf>
    <xf numFmtId="49" fontId="10" fillId="0" borderId="11" xfId="10" applyNumberFormat="1" applyFont="1" applyBorder="1" applyAlignment="1">
      <alignment vertical="top"/>
    </xf>
    <xf numFmtId="0" fontId="10" fillId="0" borderId="11" xfId="10" applyFont="1" applyBorder="1" applyAlignment="1">
      <alignment vertical="top"/>
    </xf>
    <xf numFmtId="0" fontId="10" fillId="0" borderId="12" xfId="10" applyFont="1" applyBorder="1" applyAlignment="1">
      <alignment vertical="top"/>
    </xf>
    <xf numFmtId="1" fontId="10" fillId="3" borderId="0" xfId="10" applyNumberFormat="1" applyFont="1" applyFill="1"/>
    <xf numFmtId="0" fontId="10" fillId="3" borderId="0" xfId="10" applyFont="1" applyFill="1" applyAlignment="1">
      <alignment horizontal="left"/>
    </xf>
    <xf numFmtId="0" fontId="10" fillId="3" borderId="0" xfId="10" applyFont="1" applyFill="1" applyAlignment="1">
      <alignment horizontal="left" wrapText="1"/>
    </xf>
    <xf numFmtId="1" fontId="10" fillId="3" borderId="0" xfId="10" applyNumberFormat="1" applyFont="1" applyFill="1" applyProtection="1">
      <protection hidden="1"/>
    </xf>
    <xf numFmtId="0" fontId="16" fillId="3" borderId="0" xfId="10" applyFont="1" applyFill="1" applyAlignment="1">
      <alignment horizontal="left"/>
    </xf>
    <xf numFmtId="0" fontId="20" fillId="3" borderId="0" xfId="10" applyFont="1" applyFill="1" applyAlignment="1">
      <alignment horizontal="left"/>
    </xf>
    <xf numFmtId="0" fontId="21" fillId="3" borderId="0" xfId="10" applyFont="1" applyFill="1" applyAlignment="1">
      <alignment horizontal="left"/>
    </xf>
    <xf numFmtId="0" fontId="12" fillId="3" borderId="1" xfId="10" applyFont="1" applyFill="1" applyBorder="1" applyAlignment="1">
      <alignment horizontal="left"/>
    </xf>
    <xf numFmtId="0" fontId="12" fillId="3" borderId="13" xfId="10" applyFont="1" applyFill="1" applyBorder="1" applyAlignment="1">
      <alignment horizontal="left"/>
    </xf>
    <xf numFmtId="0" fontId="12" fillId="3" borderId="3" xfId="10" applyFont="1" applyFill="1" applyBorder="1" applyAlignment="1">
      <alignment horizontal="left"/>
    </xf>
    <xf numFmtId="0" fontId="10" fillId="3" borderId="0" xfId="10" applyFont="1" applyFill="1" applyAlignment="1">
      <alignment wrapText="1"/>
    </xf>
    <xf numFmtId="1" fontId="17" fillId="3" borderId="0" xfId="10" applyNumberFormat="1" applyFont="1" applyFill="1"/>
    <xf numFmtId="1" fontId="10" fillId="3" borderId="0" xfId="10" applyNumberFormat="1" applyFont="1" applyFill="1" applyAlignment="1" applyProtection="1">
      <alignment vertical="center"/>
      <protection hidden="1"/>
    </xf>
    <xf numFmtId="0" fontId="10" fillId="3" borderId="0" xfId="10" applyFont="1" applyFill="1" applyAlignment="1">
      <alignment horizontal="left" vertical="center"/>
    </xf>
    <xf numFmtId="0" fontId="10" fillId="3" borderId="0" xfId="10" applyFont="1" applyFill="1" applyAlignment="1">
      <alignment horizontal="left" vertical="center" wrapText="1"/>
    </xf>
    <xf numFmtId="0" fontId="10" fillId="3" borderId="0" xfId="10" applyFont="1" applyFill="1" applyAlignment="1">
      <alignment vertical="center"/>
    </xf>
    <xf numFmtId="1" fontId="19" fillId="5" borderId="4" xfId="10" applyNumberFormat="1" applyFont="1" applyFill="1" applyBorder="1" applyAlignment="1">
      <alignment horizontal="center" vertical="center"/>
    </xf>
    <xf numFmtId="1" fontId="19" fillId="5" borderId="14" xfId="10" applyNumberFormat="1" applyFont="1" applyFill="1" applyBorder="1" applyAlignment="1">
      <alignment horizontal="center" vertical="center" wrapText="1"/>
    </xf>
    <xf numFmtId="1" fontId="19" fillId="5" borderId="14" xfId="10" applyNumberFormat="1" applyFont="1" applyFill="1" applyBorder="1" applyAlignment="1">
      <alignment horizontal="center" vertical="center"/>
    </xf>
    <xf numFmtId="0" fontId="19" fillId="5" borderId="5" xfId="10" applyFont="1" applyFill="1" applyBorder="1" applyAlignment="1">
      <alignment horizontal="center" vertical="center"/>
    </xf>
    <xf numFmtId="0" fontId="19" fillId="5" borderId="5" xfId="10" applyFont="1" applyFill="1" applyBorder="1" applyAlignment="1">
      <alignment horizontal="center" vertical="center" wrapText="1"/>
    </xf>
    <xf numFmtId="0" fontId="19" fillId="5" borderId="15" xfId="10" applyFont="1" applyFill="1" applyBorder="1" applyAlignment="1">
      <alignment horizontal="center" vertical="center"/>
    </xf>
    <xf numFmtId="0" fontId="19" fillId="5" borderId="6" xfId="10" applyFont="1" applyFill="1" applyBorder="1" applyAlignment="1">
      <alignment horizontal="center" vertical="center"/>
    </xf>
    <xf numFmtId="0" fontId="11" fillId="3" borderId="0" xfId="10" applyFont="1" applyFill="1" applyAlignment="1">
      <alignment horizontal="center"/>
    </xf>
    <xf numFmtId="1" fontId="10" fillId="3" borderId="7" xfId="6" applyNumberFormat="1" applyFont="1" applyFill="1" applyBorder="1" applyAlignment="1">
      <alignment horizontal="center" vertical="center" wrapText="1"/>
    </xf>
    <xf numFmtId="1" fontId="10" fillId="3" borderId="16" xfId="6" applyNumberFormat="1" applyFont="1" applyFill="1" applyBorder="1" applyAlignment="1">
      <alignment vertical="center" wrapText="1"/>
    </xf>
    <xf numFmtId="49" fontId="10" fillId="3" borderId="8" xfId="6" applyNumberFormat="1" applyFont="1" applyFill="1" applyBorder="1" applyAlignment="1">
      <alignment horizontal="left" vertical="center" wrapText="1"/>
    </xf>
    <xf numFmtId="0" fontId="22" fillId="3" borderId="8" xfId="6" applyFont="1" applyFill="1" applyBorder="1" applyAlignment="1">
      <alignment horizontal="left" vertical="center" wrapText="1"/>
    </xf>
    <xf numFmtId="0" fontId="23" fillId="3" borderId="8" xfId="6" applyFont="1" applyFill="1" applyBorder="1" applyAlignment="1">
      <alignment horizontal="left" vertical="center" wrapText="1"/>
    </xf>
    <xf numFmtId="0" fontId="10" fillId="3" borderId="9" xfId="6" applyFont="1" applyFill="1" applyBorder="1" applyAlignment="1">
      <alignment horizontal="left" vertical="center" wrapText="1"/>
    </xf>
    <xf numFmtId="0" fontId="11" fillId="3" borderId="0" xfId="7" applyFont="1" applyFill="1"/>
    <xf numFmtId="0" fontId="10" fillId="3" borderId="0" xfId="7" applyFont="1" applyFill="1"/>
    <xf numFmtId="169" fontId="10" fillId="3" borderId="0" xfId="7" applyNumberFormat="1" applyFont="1" applyFill="1"/>
    <xf numFmtId="0" fontId="11" fillId="3" borderId="2" xfId="10" applyFont="1" applyFill="1" applyBorder="1" applyAlignment="1">
      <alignment horizontal="left" vertical="center"/>
    </xf>
    <xf numFmtId="0" fontId="17" fillId="3" borderId="0" xfId="10" applyFont="1" applyFill="1"/>
    <xf numFmtId="0" fontId="18" fillId="3" borderId="0" xfId="7" applyFont="1" applyFill="1"/>
    <xf numFmtId="0" fontId="19" fillId="4" borderId="14" xfId="10" applyFont="1" applyFill="1" applyBorder="1" applyAlignment="1">
      <alignment horizontal="center"/>
    </xf>
    <xf numFmtId="0" fontId="19" fillId="4" borderId="5" xfId="10" applyFont="1" applyFill="1" applyBorder="1" applyAlignment="1">
      <alignment horizontal="center"/>
    </xf>
    <xf numFmtId="0" fontId="19" fillId="4" borderId="5" xfId="10" applyFont="1" applyFill="1" applyBorder="1" applyAlignment="1">
      <alignment horizontal="center" wrapText="1"/>
    </xf>
    <xf numFmtId="0" fontId="19" fillId="4" borderId="15" xfId="10" applyFont="1" applyFill="1" applyBorder="1" applyAlignment="1">
      <alignment horizontal="center"/>
    </xf>
    <xf numFmtId="0" fontId="19" fillId="4" borderId="17" xfId="10" applyFont="1" applyFill="1" applyBorder="1" applyAlignment="1">
      <alignment horizontal="center" wrapText="1"/>
    </xf>
    <xf numFmtId="0" fontId="24" fillId="4" borderId="0" xfId="6" applyFont="1" applyFill="1" applyAlignment="1"/>
    <xf numFmtId="0" fontId="10" fillId="3" borderId="16" xfId="10" applyFont="1" applyFill="1" applyBorder="1" applyAlignment="1">
      <alignment horizontal="center"/>
    </xf>
    <xf numFmtId="49" fontId="23" fillId="3" borderId="8" xfId="1" applyNumberFormat="1" applyFont="1" applyFill="1" applyBorder="1" applyAlignment="1" applyProtection="1"/>
    <xf numFmtId="0" fontId="10" fillId="3" borderId="8" xfId="10" applyFont="1" applyFill="1" applyBorder="1" applyAlignment="1">
      <alignment horizontal="center"/>
    </xf>
    <xf numFmtId="0" fontId="10" fillId="3" borderId="18" xfId="10" applyFont="1" applyFill="1" applyBorder="1" applyAlignment="1">
      <alignment horizontal="center"/>
    </xf>
    <xf numFmtId="0" fontId="10" fillId="3" borderId="16" xfId="7" applyFont="1" applyFill="1" applyBorder="1" applyAlignment="1">
      <alignment horizontal="center"/>
    </xf>
    <xf numFmtId="0" fontId="10" fillId="3" borderId="8" xfId="7" applyFont="1" applyFill="1" applyBorder="1" applyAlignment="1">
      <alignment horizontal="center"/>
    </xf>
    <xf numFmtId="0" fontId="10" fillId="3" borderId="18" xfId="7" applyFont="1" applyFill="1" applyBorder="1" applyAlignment="1">
      <alignment horizontal="center"/>
    </xf>
    <xf numFmtId="0" fontId="11" fillId="3" borderId="0" xfId="7" applyFont="1" applyFill="1" applyAlignment="1">
      <alignment horizontal="left"/>
    </xf>
    <xf numFmtId="2" fontId="11" fillId="3" borderId="0" xfId="7" applyNumberFormat="1" applyFont="1" applyFill="1" applyAlignment="1">
      <alignment horizontal="right" wrapText="1"/>
    </xf>
    <xf numFmtId="0" fontId="25" fillId="3" borderId="0" xfId="7" applyFont="1" applyFill="1" applyAlignment="1">
      <alignment horizontal="center" wrapText="1"/>
    </xf>
    <xf numFmtId="2" fontId="11" fillId="3" borderId="0" xfId="6" applyNumberFormat="1" applyFont="1" applyFill="1" applyAlignment="1">
      <alignment horizontal="right" wrapText="1"/>
    </xf>
    <xf numFmtId="0" fontId="26" fillId="0" borderId="0" xfId="10" applyFont="1"/>
    <xf numFmtId="0" fontId="27" fillId="0" borderId="0" xfId="10" applyFont="1" applyAlignment="1">
      <alignment horizontal="left"/>
    </xf>
    <xf numFmtId="0" fontId="26" fillId="0" borderId="0" xfId="10" applyFont="1" applyAlignment="1">
      <alignment horizontal="right"/>
    </xf>
    <xf numFmtId="0" fontId="26" fillId="0" borderId="19" xfId="10" applyFont="1" applyBorder="1"/>
    <xf numFmtId="0" fontId="27" fillId="0" borderId="19" xfId="10" applyFont="1" applyBorder="1" applyAlignment="1">
      <alignment horizontal="left"/>
    </xf>
    <xf numFmtId="49" fontId="26" fillId="0" borderId="0" xfId="10" applyNumberFormat="1" applyFont="1"/>
    <xf numFmtId="0" fontId="28" fillId="3" borderId="26" xfId="8" applyFont="1" applyFill="1" applyBorder="1" applyAlignment="1">
      <alignment wrapText="1"/>
    </xf>
    <xf numFmtId="0" fontId="28" fillId="3" borderId="27" xfId="8" applyFont="1" applyFill="1" applyBorder="1" applyAlignment="1">
      <alignment wrapText="1"/>
    </xf>
    <xf numFmtId="0" fontId="28" fillId="3" borderId="13" xfId="8" applyFont="1" applyFill="1" applyBorder="1" applyAlignment="1">
      <alignment horizontal="left" wrapText="1"/>
    </xf>
    <xf numFmtId="0" fontId="26" fillId="3" borderId="31" xfId="10" applyFont="1" applyFill="1" applyBorder="1" applyAlignment="1">
      <alignment horizontal="center" vertical="center"/>
    </xf>
    <xf numFmtId="0" fontId="26" fillId="0" borderId="33" xfId="10" applyFont="1" applyBorder="1"/>
    <xf numFmtId="169" fontId="19" fillId="4" borderId="34" xfId="10" applyNumberFormat="1" applyFont="1" applyFill="1" applyBorder="1" applyAlignment="1">
      <alignment horizontal="center" vertical="center"/>
    </xf>
    <xf numFmtId="0" fontId="24" fillId="4" borderId="35" xfId="10" applyFont="1" applyFill="1" applyBorder="1" applyAlignment="1">
      <alignment horizontal="left"/>
    </xf>
    <xf numFmtId="0" fontId="30" fillId="4" borderId="35" xfId="10" applyFont="1" applyFill="1" applyBorder="1"/>
    <xf numFmtId="0" fontId="30" fillId="4" borderId="35" xfId="10" applyFont="1" applyFill="1" applyBorder="1" applyAlignment="1">
      <alignment horizontal="right"/>
    </xf>
    <xf numFmtId="0" fontId="24" fillId="4" borderId="35" xfId="6" applyFont="1" applyFill="1" applyBorder="1" applyAlignment="1">
      <alignment vertical="top"/>
    </xf>
    <xf numFmtId="0" fontId="24" fillId="4" borderId="36" xfId="6" applyFont="1" applyFill="1" applyBorder="1" applyAlignment="1">
      <alignment vertical="top"/>
    </xf>
    <xf numFmtId="0" fontId="27" fillId="0" borderId="0" xfId="10" applyFont="1"/>
    <xf numFmtId="0" fontId="24" fillId="4" borderId="37" xfId="10" applyFont="1" applyFill="1" applyBorder="1" applyAlignment="1">
      <alignment vertical="center"/>
    </xf>
    <xf numFmtId="0" fontId="27" fillId="3" borderId="38" xfId="10" applyFont="1" applyFill="1" applyBorder="1" applyAlignment="1">
      <alignment horizontal="left" vertical="top"/>
    </xf>
    <xf numFmtId="0" fontId="26" fillId="3" borderId="26" xfId="10" applyFont="1" applyFill="1" applyBorder="1" applyAlignment="1">
      <alignment horizontal="center" vertical="top"/>
    </xf>
    <xf numFmtId="0" fontId="26" fillId="3" borderId="39" xfId="10" applyFont="1" applyFill="1" applyBorder="1" applyAlignment="1">
      <alignment horizontal="right" vertical="top"/>
    </xf>
    <xf numFmtId="0" fontId="28" fillId="6" borderId="0" xfId="10" applyFont="1" applyFill="1" applyAlignment="1">
      <alignment horizontal="right"/>
    </xf>
    <xf numFmtId="0" fontId="8" fillId="0" borderId="25" xfId="10" applyFont="1" applyBorder="1" applyAlignment="1">
      <alignment horizontal="center"/>
    </xf>
    <xf numFmtId="0" fontId="8" fillId="0" borderId="40" xfId="10" applyFont="1" applyBorder="1" applyAlignment="1">
      <alignment horizontal="center"/>
    </xf>
    <xf numFmtId="0" fontId="24" fillId="4" borderId="41" xfId="10" applyFont="1" applyFill="1" applyBorder="1" applyAlignment="1">
      <alignment vertical="center"/>
    </xf>
    <xf numFmtId="0" fontId="27" fillId="3" borderId="1" xfId="10" applyFont="1" applyFill="1" applyBorder="1" applyAlignment="1">
      <alignment horizontal="left" vertical="top"/>
    </xf>
    <xf numFmtId="0" fontId="26" fillId="3" borderId="13" xfId="10" applyFont="1" applyFill="1" applyBorder="1" applyAlignment="1">
      <alignment horizontal="center" vertical="top"/>
    </xf>
    <xf numFmtId="0" fontId="26" fillId="3" borderId="3" xfId="10" applyFont="1" applyFill="1" applyBorder="1" applyAlignment="1">
      <alignment horizontal="right" vertical="top"/>
    </xf>
    <xf numFmtId="0" fontId="8" fillId="0" borderId="2" xfId="10" applyFont="1" applyBorder="1" applyAlignment="1">
      <alignment horizontal="center"/>
    </xf>
    <xf numFmtId="0" fontId="8" fillId="0" borderId="42" xfId="10" applyFont="1" applyBorder="1" applyAlignment="1">
      <alignment horizontal="center"/>
    </xf>
    <xf numFmtId="0" fontId="26" fillId="0" borderId="0" xfId="10" applyFont="1" applyAlignment="1">
      <alignment vertical="top"/>
    </xf>
    <xf numFmtId="0" fontId="26" fillId="6" borderId="0" xfId="10" applyFont="1" applyFill="1" applyAlignment="1">
      <alignment horizontal="right"/>
    </xf>
    <xf numFmtId="0" fontId="27" fillId="0" borderId="0" xfId="10" applyFont="1" applyAlignment="1">
      <alignment horizontal="center"/>
    </xf>
    <xf numFmtId="0" fontId="27" fillId="3" borderId="43" xfId="10" applyFont="1" applyFill="1" applyBorder="1" applyAlignment="1">
      <alignment horizontal="left" vertical="top"/>
    </xf>
    <xf numFmtId="0" fontId="26" fillId="3" borderId="44" xfId="10" applyFont="1" applyFill="1" applyBorder="1" applyAlignment="1">
      <alignment horizontal="center" vertical="top"/>
    </xf>
    <xf numFmtId="0" fontId="26" fillId="3" borderId="45" xfId="10" applyFont="1" applyFill="1" applyBorder="1" applyAlignment="1">
      <alignment horizontal="right" vertical="top"/>
    </xf>
    <xf numFmtId="0" fontId="26" fillId="6" borderId="46" xfId="10" applyFont="1" applyFill="1" applyBorder="1" applyAlignment="1">
      <alignment horizontal="right"/>
    </xf>
    <xf numFmtId="0" fontId="8" fillId="0" borderId="47" xfId="10" applyFont="1" applyBorder="1" applyAlignment="1">
      <alignment horizontal="center"/>
    </xf>
    <xf numFmtId="0" fontId="8" fillId="0" borderId="48" xfId="10" applyFont="1" applyBorder="1" applyAlignment="1">
      <alignment horizontal="center"/>
    </xf>
    <xf numFmtId="0" fontId="24" fillId="4" borderId="37" xfId="10" applyFont="1" applyFill="1" applyBorder="1" applyAlignment="1">
      <alignment vertical="top"/>
    </xf>
    <xf numFmtId="0" fontId="27" fillId="3" borderId="38" xfId="10" applyFont="1" applyFill="1" applyBorder="1"/>
    <xf numFmtId="0" fontId="27" fillId="3" borderId="26" xfId="10" applyFont="1" applyFill="1" applyBorder="1"/>
    <xf numFmtId="0" fontId="26" fillId="3" borderId="39" xfId="10" applyFont="1" applyFill="1" applyBorder="1" applyAlignment="1">
      <alignment horizontal="right"/>
    </xf>
    <xf numFmtId="0" fontId="26" fillId="6" borderId="25" xfId="10" applyFont="1" applyFill="1" applyBorder="1" applyAlignment="1">
      <alignment horizontal="left"/>
    </xf>
    <xf numFmtId="0" fontId="24" fillId="4" borderId="41" xfId="10" applyFont="1" applyFill="1" applyBorder="1" applyAlignment="1">
      <alignment vertical="top"/>
    </xf>
    <xf numFmtId="0" fontId="27" fillId="3" borderId="1" xfId="10" applyFont="1" applyFill="1" applyBorder="1"/>
    <xf numFmtId="0" fontId="26" fillId="3" borderId="13" xfId="10" applyFont="1" applyFill="1" applyBorder="1"/>
    <xf numFmtId="0" fontId="26" fillId="3" borderId="3" xfId="10" applyFont="1" applyFill="1" applyBorder="1" applyAlignment="1">
      <alignment horizontal="right"/>
    </xf>
    <xf numFmtId="0" fontId="26" fillId="6" borderId="2" xfId="10" applyFont="1" applyFill="1" applyBorder="1" applyAlignment="1">
      <alignment horizontal="left"/>
    </xf>
    <xf numFmtId="0" fontId="5" fillId="3" borderId="13" xfId="10" applyFont="1" applyFill="1" applyBorder="1"/>
    <xf numFmtId="0" fontId="26" fillId="6" borderId="2" xfId="10" applyFont="1" applyFill="1" applyBorder="1"/>
    <xf numFmtId="0" fontId="27" fillId="3" borderId="49" xfId="10" applyFont="1" applyFill="1" applyBorder="1"/>
    <xf numFmtId="0" fontId="26" fillId="3" borderId="50" xfId="10" applyFont="1" applyFill="1" applyBorder="1"/>
    <xf numFmtId="0" fontId="26" fillId="3" borderId="51" xfId="10" applyFont="1" applyFill="1" applyBorder="1" applyAlignment="1">
      <alignment horizontal="right"/>
    </xf>
    <xf numFmtId="0" fontId="26" fillId="6" borderId="52" xfId="10" applyFont="1" applyFill="1" applyBorder="1" applyAlignment="1">
      <alignment horizontal="left"/>
    </xf>
    <xf numFmtId="0" fontId="8" fillId="0" borderId="52" xfId="10" applyFont="1" applyBorder="1" applyAlignment="1">
      <alignment horizontal="center"/>
    </xf>
    <xf numFmtId="0" fontId="8" fillId="0" borderId="53" xfId="10" applyFont="1" applyBorder="1" applyAlignment="1">
      <alignment horizontal="center"/>
    </xf>
    <xf numFmtId="0" fontId="26" fillId="0" borderId="54" xfId="10" applyFont="1" applyBorder="1" applyAlignment="1">
      <alignment horizontal="left"/>
    </xf>
    <xf numFmtId="0" fontId="26" fillId="0" borderId="54" xfId="10" applyFont="1" applyBorder="1" applyAlignment="1">
      <alignment horizontal="center"/>
    </xf>
    <xf numFmtId="0" fontId="26" fillId="0" borderId="55" xfId="10" applyFont="1" applyBorder="1" applyAlignment="1">
      <alignment horizontal="center"/>
    </xf>
    <xf numFmtId="0" fontId="31" fillId="0" borderId="2" xfId="10" applyFont="1" applyBorder="1" applyAlignment="1">
      <alignment horizontal="left"/>
    </xf>
    <xf numFmtId="0" fontId="26" fillId="0" borderId="2" xfId="10" applyFont="1" applyBorder="1" applyAlignment="1">
      <alignment horizontal="center"/>
    </xf>
    <xf numFmtId="0" fontId="26" fillId="0" borderId="42" xfId="10" applyFont="1" applyBorder="1" applyAlignment="1">
      <alignment horizontal="center"/>
    </xf>
    <xf numFmtId="0" fontId="26" fillId="0" borderId="2" xfId="10" applyFont="1" applyBorder="1"/>
    <xf numFmtId="171" fontId="26" fillId="0" borderId="2" xfId="10" applyNumberFormat="1" applyFont="1" applyBorder="1" applyAlignment="1">
      <alignment vertical="top"/>
    </xf>
    <xf numFmtId="171" fontId="26" fillId="0" borderId="42" xfId="10" applyNumberFormat="1" applyFont="1" applyBorder="1" applyAlignment="1">
      <alignment vertical="top"/>
    </xf>
    <xf numFmtId="0" fontId="24" fillId="4" borderId="56" xfId="10" applyFont="1" applyFill="1" applyBorder="1" applyAlignment="1">
      <alignment vertical="top"/>
    </xf>
    <xf numFmtId="0" fontId="26" fillId="0" borderId="47" xfId="10" applyFont="1" applyBorder="1"/>
    <xf numFmtId="0" fontId="26" fillId="0" borderId="48" xfId="10" applyFont="1" applyBorder="1"/>
    <xf numFmtId="0" fontId="24" fillId="0" borderId="0" xfId="10" applyFont="1" applyAlignment="1">
      <alignment vertical="top"/>
    </xf>
    <xf numFmtId="0" fontId="32" fillId="0" borderId="57" xfId="6" applyFont="1" applyBorder="1" applyAlignment="1">
      <alignment wrapText="1"/>
    </xf>
    <xf numFmtId="0" fontId="32" fillId="7" borderId="57" xfId="6" applyFont="1" applyFill="1" applyBorder="1" applyAlignment="1">
      <alignment wrapText="1"/>
    </xf>
    <xf numFmtId="0" fontId="26" fillId="0" borderId="0" xfId="10" applyFont="1" applyAlignment="1">
      <alignment horizontal="center"/>
    </xf>
    <xf numFmtId="0" fontId="26" fillId="0" borderId="21" xfId="10" applyFont="1" applyBorder="1"/>
    <xf numFmtId="0" fontId="30" fillId="4" borderId="60" xfId="10" applyFont="1" applyFill="1" applyBorder="1"/>
    <xf numFmtId="0" fontId="24" fillId="4" borderId="61" xfId="10" applyFont="1" applyFill="1" applyBorder="1" applyAlignment="1">
      <alignment horizontal="left"/>
    </xf>
    <xf numFmtId="0" fontId="30" fillId="4" borderId="61" xfId="10" applyFont="1" applyFill="1" applyBorder="1"/>
    <xf numFmtId="0" fontId="30" fillId="4" borderId="61" xfId="10" applyFont="1" applyFill="1" applyBorder="1" applyAlignment="1">
      <alignment horizontal="right"/>
    </xf>
    <xf numFmtId="0" fontId="24" fillId="4" borderId="61" xfId="6" applyFont="1" applyFill="1" applyBorder="1" applyAlignment="1">
      <alignment vertical="top"/>
    </xf>
    <xf numFmtId="0" fontId="24" fillId="4" borderId="62" xfId="6" applyFont="1" applyFill="1" applyBorder="1" applyAlignment="1">
      <alignment vertical="top"/>
    </xf>
    <xf numFmtId="0" fontId="28" fillId="6" borderId="50" xfId="10" applyFont="1" applyFill="1" applyBorder="1" applyAlignment="1">
      <alignment horizontal="right"/>
    </xf>
    <xf numFmtId="0" fontId="34" fillId="0" borderId="2" xfId="10" applyFont="1" applyBorder="1" applyAlignment="1">
      <alignment horizontal="center"/>
    </xf>
    <xf numFmtId="0" fontId="34" fillId="0" borderId="42" xfId="10" applyFont="1" applyBorder="1" applyAlignment="1">
      <alignment horizontal="center"/>
    </xf>
    <xf numFmtId="0" fontId="35" fillId="0" borderId="0" xfId="10" applyFont="1" applyAlignment="1">
      <alignment horizontal="center"/>
    </xf>
    <xf numFmtId="0" fontId="34" fillId="0" borderId="47" xfId="10" applyFont="1" applyBorder="1" applyAlignment="1">
      <alignment horizontal="center"/>
    </xf>
    <xf numFmtId="0" fontId="34" fillId="0" borderId="48" xfId="10" applyFont="1" applyBorder="1" applyAlignment="1">
      <alignment horizontal="center"/>
    </xf>
    <xf numFmtId="0" fontId="34" fillId="0" borderId="25" xfId="10" applyFont="1" applyBorder="1" applyAlignment="1">
      <alignment horizontal="center"/>
    </xf>
    <xf numFmtId="0" fontId="34" fillId="0" borderId="40" xfId="10" applyFont="1" applyBorder="1" applyAlignment="1">
      <alignment horizontal="center"/>
    </xf>
    <xf numFmtId="0" fontId="3" fillId="3" borderId="13" xfId="10" applyFill="1" applyBorder="1"/>
    <xf numFmtId="0" fontId="34" fillId="0" borderId="52" xfId="10" applyFont="1" applyBorder="1" applyAlignment="1">
      <alignment horizontal="center"/>
    </xf>
    <xf numFmtId="0" fontId="34" fillId="0" borderId="53" xfId="10" applyFont="1" applyBorder="1" applyAlignment="1">
      <alignment horizontal="center"/>
    </xf>
    <xf numFmtId="0" fontId="36" fillId="0" borderId="54" xfId="10" applyFont="1" applyBorder="1" applyAlignment="1">
      <alignment horizontal="center"/>
    </xf>
    <xf numFmtId="0" fontId="36" fillId="0" borderId="55" xfId="10" applyFont="1" applyBorder="1" applyAlignment="1">
      <alignment horizontal="center"/>
    </xf>
    <xf numFmtId="0" fontId="36" fillId="0" borderId="2" xfId="10" applyFont="1" applyBorder="1" applyAlignment="1">
      <alignment horizontal="center"/>
    </xf>
    <xf numFmtId="0" fontId="36" fillId="0" borderId="42" xfId="10" applyFont="1" applyBorder="1" applyAlignment="1">
      <alignment horizontal="center"/>
    </xf>
    <xf numFmtId="0" fontId="26" fillId="0" borderId="0" xfId="11" applyFont="1"/>
    <xf numFmtId="0" fontId="27" fillId="0" borderId="0" xfId="11" applyFont="1" applyAlignment="1">
      <alignment horizontal="left"/>
    </xf>
    <xf numFmtId="0" fontId="26" fillId="0" borderId="0" xfId="11" applyFont="1" applyAlignment="1">
      <alignment horizontal="right"/>
    </xf>
    <xf numFmtId="0" fontId="28" fillId="3" borderId="26" xfId="9" applyFont="1" applyFill="1" applyBorder="1" applyAlignment="1">
      <alignment wrapText="1"/>
    </xf>
    <xf numFmtId="0" fontId="28" fillId="3" borderId="27" xfId="9" applyFont="1" applyFill="1" applyBorder="1" applyAlignment="1">
      <alignment wrapText="1"/>
    </xf>
    <xf numFmtId="0" fontId="28" fillId="3" borderId="13" xfId="9" applyFont="1" applyFill="1" applyBorder="1" applyAlignment="1">
      <alignment horizontal="left" wrapText="1"/>
    </xf>
    <xf numFmtId="49" fontId="26" fillId="0" borderId="0" xfId="11" applyNumberFormat="1" applyFont="1"/>
    <xf numFmtId="0" fontId="26" fillId="3" borderId="31" xfId="11" applyFont="1" applyFill="1" applyBorder="1" applyAlignment="1">
      <alignment horizontal="center" vertical="center"/>
    </xf>
    <xf numFmtId="0" fontId="26" fillId="0" borderId="33" xfId="11" applyFont="1" applyBorder="1"/>
    <xf numFmtId="0" fontId="30" fillId="4" borderId="60" xfId="11" applyFont="1" applyFill="1" applyBorder="1"/>
    <xf numFmtId="0" fontId="24" fillId="4" borderId="63" xfId="11" applyFont="1" applyFill="1" applyBorder="1" applyAlignment="1">
      <alignment horizontal="left"/>
    </xf>
    <xf numFmtId="0" fontId="30" fillId="4" borderId="63" xfId="11" applyFont="1" applyFill="1" applyBorder="1"/>
    <xf numFmtId="0" fontId="30" fillId="4" borderId="63" xfId="11" applyFont="1" applyFill="1" applyBorder="1" applyAlignment="1">
      <alignment horizontal="right"/>
    </xf>
    <xf numFmtId="0" fontId="24" fillId="4" borderId="63" xfId="6" applyFont="1" applyFill="1" applyBorder="1" applyAlignment="1">
      <alignment vertical="top"/>
    </xf>
    <xf numFmtId="0" fontId="24" fillId="4" borderId="64" xfId="6" applyFont="1" applyFill="1" applyBorder="1" applyAlignment="1">
      <alignment vertical="top"/>
    </xf>
    <xf numFmtId="0" fontId="27" fillId="0" borderId="0" xfId="11" applyFont="1"/>
    <xf numFmtId="0" fontId="24" fillId="4" borderId="37" xfId="11" applyFont="1" applyFill="1" applyBorder="1" applyAlignment="1">
      <alignment vertical="center"/>
    </xf>
    <xf numFmtId="0" fontId="27" fillId="3" borderId="1" xfId="11" applyFont="1" applyFill="1" applyBorder="1" applyAlignment="1">
      <alignment horizontal="left" vertical="top"/>
    </xf>
    <xf numFmtId="0" fontId="26" fillId="3" borderId="13" xfId="11" applyFont="1" applyFill="1" applyBorder="1" applyAlignment="1">
      <alignment horizontal="center" vertical="top"/>
    </xf>
    <xf numFmtId="0" fontId="26" fillId="3" borderId="3" xfId="11" applyFont="1" applyFill="1" applyBorder="1" applyAlignment="1">
      <alignment horizontal="right" vertical="top"/>
    </xf>
    <xf numFmtId="0" fontId="28" fillId="6" borderId="50" xfId="11" applyFont="1" applyFill="1" applyBorder="1" applyAlignment="1">
      <alignment horizontal="right"/>
    </xf>
    <xf numFmtId="0" fontId="34" fillId="0" borderId="2" xfId="11" applyFont="1" applyBorder="1" applyAlignment="1">
      <alignment horizontal="center"/>
    </xf>
    <xf numFmtId="0" fontId="34" fillId="0" borderId="42" xfId="11" applyFont="1" applyBorder="1" applyAlignment="1">
      <alignment horizontal="center"/>
    </xf>
    <xf numFmtId="0" fontId="24" fillId="4" borderId="41" xfId="11" applyFont="1" applyFill="1" applyBorder="1" applyAlignment="1">
      <alignment vertical="center"/>
    </xf>
    <xf numFmtId="0" fontId="28" fillId="6" borderId="0" xfId="11" applyFont="1" applyFill="1" applyAlignment="1">
      <alignment horizontal="right"/>
    </xf>
    <xf numFmtId="0" fontId="26" fillId="0" borderId="0" xfId="11" applyFont="1" applyAlignment="1">
      <alignment vertical="top"/>
    </xf>
    <xf numFmtId="0" fontId="26" fillId="6" borderId="0" xfId="11" applyFont="1" applyFill="1" applyAlignment="1">
      <alignment horizontal="right"/>
    </xf>
    <xf numFmtId="0" fontId="35" fillId="0" borderId="0" xfId="11" applyFont="1" applyAlignment="1">
      <alignment horizontal="center"/>
    </xf>
    <xf numFmtId="0" fontId="27" fillId="3" borderId="43" xfId="11" applyFont="1" applyFill="1" applyBorder="1" applyAlignment="1">
      <alignment horizontal="left" vertical="top"/>
    </xf>
    <xf numFmtId="0" fontId="26" fillId="3" borderId="44" xfId="11" applyFont="1" applyFill="1" applyBorder="1" applyAlignment="1">
      <alignment horizontal="center" vertical="top"/>
    </xf>
    <xf numFmtId="0" fontId="26" fillId="3" borderId="45" xfId="11" applyFont="1" applyFill="1" applyBorder="1" applyAlignment="1">
      <alignment horizontal="right" vertical="top"/>
    </xf>
    <xf numFmtId="0" fontId="26" fillId="6" borderId="46" xfId="11" applyFont="1" applyFill="1" applyBorder="1" applyAlignment="1">
      <alignment horizontal="right"/>
    </xf>
    <xf numFmtId="0" fontId="34" fillId="0" borderId="47" xfId="11" applyFont="1" applyBorder="1" applyAlignment="1">
      <alignment horizontal="center"/>
    </xf>
    <xf numFmtId="0" fontId="34" fillId="0" borderId="48" xfId="11" applyFont="1" applyBorder="1" applyAlignment="1">
      <alignment horizontal="center"/>
    </xf>
    <xf numFmtId="0" fontId="24" fillId="4" borderId="37" xfId="11" applyFont="1" applyFill="1" applyBorder="1" applyAlignment="1">
      <alignment vertical="top"/>
    </xf>
    <xf numFmtId="0" fontId="27" fillId="3" borderId="38" xfId="11" applyFont="1" applyFill="1" applyBorder="1"/>
    <xf numFmtId="0" fontId="27" fillId="3" borderId="26" xfId="11" applyFont="1" applyFill="1" applyBorder="1"/>
    <xf numFmtId="0" fontId="26" fillId="3" borderId="39" xfId="11" applyFont="1" applyFill="1" applyBorder="1" applyAlignment="1">
      <alignment horizontal="right"/>
    </xf>
    <xf numFmtId="0" fontId="26" fillId="6" borderId="25" xfId="11" applyFont="1" applyFill="1" applyBorder="1" applyAlignment="1">
      <alignment horizontal="left"/>
    </xf>
    <xf numFmtId="0" fontId="34" fillId="0" borderId="25" xfId="11" applyFont="1" applyBorder="1" applyAlignment="1">
      <alignment horizontal="center"/>
    </xf>
    <xf numFmtId="0" fontId="34" fillId="0" borderId="40" xfId="11" applyFont="1" applyBorder="1" applyAlignment="1">
      <alignment horizontal="center"/>
    </xf>
    <xf numFmtId="0" fontId="24" fillId="4" borderId="41" xfId="11" applyFont="1" applyFill="1" applyBorder="1" applyAlignment="1">
      <alignment vertical="top"/>
    </xf>
    <xf numFmtId="0" fontId="27" fillId="3" borderId="1" xfId="11" applyFont="1" applyFill="1" applyBorder="1"/>
    <xf numFmtId="0" fontId="26" fillId="3" borderId="3" xfId="11" applyFont="1" applyFill="1" applyBorder="1" applyAlignment="1">
      <alignment horizontal="right"/>
    </xf>
    <xf numFmtId="0" fontId="26" fillId="6" borderId="2" xfId="11" applyFont="1" applyFill="1" applyBorder="1" applyAlignment="1">
      <alignment horizontal="left"/>
    </xf>
    <xf numFmtId="0" fontId="3" fillId="3" borderId="13" xfId="11" applyFill="1" applyBorder="1"/>
    <xf numFmtId="0" fontId="26" fillId="6" borderId="2" xfId="11" applyFont="1" applyFill="1" applyBorder="1"/>
    <xf numFmtId="0" fontId="27" fillId="3" borderId="49" xfId="11" applyFont="1" applyFill="1" applyBorder="1"/>
    <xf numFmtId="0" fontId="26" fillId="3" borderId="50" xfId="11" applyFont="1" applyFill="1" applyBorder="1"/>
    <xf numFmtId="0" fontId="26" fillId="3" borderId="51" xfId="11" applyFont="1" applyFill="1" applyBorder="1" applyAlignment="1">
      <alignment horizontal="right"/>
    </xf>
    <xf numFmtId="0" fontId="26" fillId="6" borderId="52" xfId="11" applyFont="1" applyFill="1" applyBorder="1" applyAlignment="1">
      <alignment horizontal="left"/>
    </xf>
    <xf numFmtId="0" fontId="34" fillId="0" borderId="52" xfId="11" applyFont="1" applyBorder="1" applyAlignment="1">
      <alignment horizontal="center"/>
    </xf>
    <xf numFmtId="0" fontId="34" fillId="0" borderId="53" xfId="11" applyFont="1" applyBorder="1" applyAlignment="1">
      <alignment horizontal="center"/>
    </xf>
    <xf numFmtId="0" fontId="26" fillId="0" borderId="54" xfId="11" applyFont="1" applyBorder="1" applyAlignment="1">
      <alignment horizontal="left"/>
    </xf>
    <xf numFmtId="0" fontId="36" fillId="0" borderId="54" xfId="11" applyFont="1" applyBorder="1" applyAlignment="1">
      <alignment horizontal="center"/>
    </xf>
    <xf numFmtId="0" fontId="36" fillId="0" borderId="55" xfId="11" applyFont="1" applyBorder="1" applyAlignment="1">
      <alignment horizontal="center"/>
    </xf>
    <xf numFmtId="0" fontId="24" fillId="4" borderId="65" xfId="11" applyFont="1" applyFill="1" applyBorder="1" applyAlignment="1">
      <alignment vertical="top"/>
    </xf>
    <xf numFmtId="0" fontId="31" fillId="0" borderId="2" xfId="11" applyFont="1" applyBorder="1" applyAlignment="1">
      <alignment horizontal="left"/>
    </xf>
    <xf numFmtId="0" fontId="36" fillId="0" borderId="2" xfId="11" applyFont="1" applyBorder="1" applyAlignment="1">
      <alignment horizontal="center"/>
    </xf>
    <xf numFmtId="0" fontId="36" fillId="0" borderId="42" xfId="11" applyFont="1" applyBorder="1" applyAlignment="1">
      <alignment horizontal="center"/>
    </xf>
    <xf numFmtId="0" fontId="26" fillId="0" borderId="2" xfId="11" applyFont="1" applyBorder="1"/>
    <xf numFmtId="171" fontId="26" fillId="0" borderId="2" xfId="11" applyNumberFormat="1" applyFont="1" applyBorder="1" applyAlignment="1">
      <alignment vertical="top"/>
    </xf>
    <xf numFmtId="171" fontId="26" fillId="0" borderId="42" xfId="11" applyNumberFormat="1" applyFont="1" applyBorder="1" applyAlignment="1">
      <alignment vertical="top"/>
    </xf>
    <xf numFmtId="0" fontId="24" fillId="4" borderId="66" xfId="11" applyFont="1" applyFill="1" applyBorder="1" applyAlignment="1">
      <alignment vertical="top"/>
    </xf>
    <xf numFmtId="0" fontId="26" fillId="0" borderId="47" xfId="11" applyFont="1" applyBorder="1"/>
    <xf numFmtId="0" fontId="26" fillId="0" borderId="48" xfId="11" applyFont="1" applyBorder="1"/>
    <xf numFmtId="0" fontId="24" fillId="4" borderId="63" xfId="10" applyFont="1" applyFill="1" applyBorder="1" applyAlignment="1">
      <alignment horizontal="left"/>
    </xf>
    <xf numFmtId="0" fontId="30" fillId="4" borderId="63" xfId="10" applyFont="1" applyFill="1" applyBorder="1"/>
    <xf numFmtId="0" fontId="30" fillId="4" borderId="63" xfId="10" applyFont="1" applyFill="1" applyBorder="1" applyAlignment="1">
      <alignment horizontal="right"/>
    </xf>
    <xf numFmtId="0" fontId="24" fillId="4" borderId="63" xfId="10" applyFont="1" applyFill="1" applyBorder="1" applyAlignment="1">
      <alignment vertical="top"/>
    </xf>
    <xf numFmtId="0" fontId="24" fillId="4" borderId="64" xfId="10" applyFont="1" applyFill="1" applyBorder="1" applyAlignment="1">
      <alignment vertical="top"/>
    </xf>
    <xf numFmtId="0" fontId="27" fillId="3" borderId="1" xfId="10" applyFont="1" applyFill="1" applyBorder="1" applyAlignment="1">
      <alignment horizontal="right"/>
    </xf>
    <xf numFmtId="0" fontId="24" fillId="4" borderId="65" xfId="10" applyFont="1" applyFill="1" applyBorder="1" applyAlignment="1">
      <alignment vertical="top"/>
    </xf>
    <xf numFmtId="0" fontId="24" fillId="4" borderId="66" xfId="10" applyFont="1" applyFill="1" applyBorder="1" applyAlignment="1">
      <alignment vertical="top"/>
    </xf>
    <xf numFmtId="0" fontId="26" fillId="0" borderId="19" xfId="7" applyFont="1" applyBorder="1"/>
    <xf numFmtId="0" fontId="27" fillId="0" borderId="19" xfId="7" applyFont="1" applyBorder="1" applyAlignment="1">
      <alignment horizontal="left"/>
    </xf>
    <xf numFmtId="0" fontId="26" fillId="0" borderId="0" xfId="7" applyFont="1"/>
    <xf numFmtId="0" fontId="26" fillId="0" borderId="0" xfId="7" applyFont="1" applyAlignment="1">
      <alignment horizontal="right"/>
    </xf>
    <xf numFmtId="0" fontId="28" fillId="3" borderId="26" xfId="7" applyFont="1" applyFill="1" applyBorder="1" applyAlignment="1">
      <alignment wrapText="1"/>
    </xf>
    <xf numFmtId="0" fontId="28" fillId="3" borderId="27" xfId="7" applyFont="1" applyFill="1" applyBorder="1" applyAlignment="1">
      <alignment wrapText="1"/>
    </xf>
    <xf numFmtId="0" fontId="28" fillId="3" borderId="13" xfId="7" applyFont="1" applyFill="1" applyBorder="1" applyAlignment="1">
      <alignment horizontal="left" wrapText="1"/>
    </xf>
    <xf numFmtId="0" fontId="26" fillId="3" borderId="31" xfId="7" applyFont="1" applyFill="1" applyBorder="1" applyAlignment="1">
      <alignment horizontal="center" vertical="center"/>
    </xf>
    <xf numFmtId="0" fontId="27" fillId="0" borderId="0" xfId="7" applyFont="1" applyAlignment="1">
      <alignment horizontal="left"/>
    </xf>
    <xf numFmtId="169" fontId="19" fillId="4" borderId="34" xfId="7" applyNumberFormat="1" applyFont="1" applyFill="1" applyBorder="1" applyAlignment="1">
      <alignment horizontal="center" vertical="center"/>
    </xf>
    <xf numFmtId="0" fontId="24" fillId="4" borderId="35" xfId="7" applyFont="1" applyFill="1" applyBorder="1" applyAlignment="1">
      <alignment horizontal="left"/>
    </xf>
    <xf numFmtId="0" fontId="30" fillId="4" borderId="35" xfId="7" applyFont="1" applyFill="1" applyBorder="1"/>
    <xf numFmtId="0" fontId="30" fillId="4" borderId="35" xfId="7" applyFont="1" applyFill="1" applyBorder="1" applyAlignment="1">
      <alignment horizontal="right"/>
    </xf>
    <xf numFmtId="0" fontId="24" fillId="4" borderId="37" xfId="7" applyFont="1" applyFill="1" applyBorder="1" applyAlignment="1">
      <alignment vertical="center"/>
    </xf>
    <xf numFmtId="0" fontId="27" fillId="3" borderId="38" xfId="7" applyFont="1" applyFill="1" applyBorder="1" applyAlignment="1">
      <alignment horizontal="left" vertical="top"/>
    </xf>
    <xf numFmtId="0" fontId="26" fillId="3" borderId="26" xfId="7" applyFont="1" applyFill="1" applyBorder="1" applyAlignment="1">
      <alignment horizontal="center" vertical="top"/>
    </xf>
    <xf numFmtId="0" fontId="26" fillId="3" borderId="39" xfId="7" applyFont="1" applyFill="1" applyBorder="1" applyAlignment="1">
      <alignment horizontal="right" vertical="top"/>
    </xf>
    <xf numFmtId="0" fontId="28" fillId="6" borderId="0" xfId="7" applyFont="1" applyFill="1" applyAlignment="1">
      <alignment horizontal="right"/>
    </xf>
    <xf numFmtId="0" fontId="8" fillId="0" borderId="25" xfId="7" applyFont="1" applyBorder="1" applyAlignment="1">
      <alignment horizontal="center"/>
    </xf>
    <xf numFmtId="0" fontId="8" fillId="0" borderId="40" xfId="7" applyFont="1" applyBorder="1" applyAlignment="1">
      <alignment horizontal="center"/>
    </xf>
    <xf numFmtId="0" fontId="24" fillId="4" borderId="41" xfId="7" applyFont="1" applyFill="1" applyBorder="1" applyAlignment="1">
      <alignment vertical="center"/>
    </xf>
    <xf numFmtId="0" fontId="27" fillId="3" borderId="1" xfId="7" applyFont="1" applyFill="1" applyBorder="1" applyAlignment="1">
      <alignment horizontal="left" vertical="top"/>
    </xf>
    <xf numFmtId="0" fontId="26" fillId="3" borderId="13" xfId="7" applyFont="1" applyFill="1" applyBorder="1" applyAlignment="1">
      <alignment horizontal="center" vertical="top"/>
    </xf>
    <xf numFmtId="0" fontId="26" fillId="3" borderId="3" xfId="7" applyFont="1" applyFill="1" applyBorder="1" applyAlignment="1">
      <alignment horizontal="right" vertical="top"/>
    </xf>
    <xf numFmtId="0" fontId="8" fillId="0" borderId="2" xfId="7" applyFont="1" applyBorder="1" applyAlignment="1">
      <alignment horizontal="center"/>
    </xf>
    <xf numFmtId="0" fontId="8" fillId="0" borderId="42" xfId="7" applyFont="1" applyBorder="1" applyAlignment="1">
      <alignment horizontal="center"/>
    </xf>
    <xf numFmtId="0" fontId="26" fillId="0" borderId="0" xfId="7" applyFont="1" applyAlignment="1">
      <alignment vertical="top"/>
    </xf>
    <xf numFmtId="0" fontId="26" fillId="6" borderId="0" xfId="7" applyFont="1" applyFill="1" applyAlignment="1">
      <alignment horizontal="right"/>
    </xf>
    <xf numFmtId="0" fontId="27" fillId="3" borderId="43" xfId="7" applyFont="1" applyFill="1" applyBorder="1" applyAlignment="1">
      <alignment horizontal="left" vertical="top"/>
    </xf>
    <xf numFmtId="0" fontId="26" fillId="3" borderId="44" xfId="7" applyFont="1" applyFill="1" applyBorder="1" applyAlignment="1">
      <alignment horizontal="center" vertical="top"/>
    </xf>
    <xf numFmtId="0" fontId="26" fillId="3" borderId="45" xfId="7" applyFont="1" applyFill="1" applyBorder="1" applyAlignment="1">
      <alignment horizontal="right" vertical="top"/>
    </xf>
    <xf numFmtId="0" fontId="26" fillId="6" borderId="46" xfId="7" applyFont="1" applyFill="1" applyBorder="1" applyAlignment="1">
      <alignment horizontal="right"/>
    </xf>
    <xf numFmtId="0" fontId="8" fillId="0" borderId="47" xfId="7" applyFont="1" applyBorder="1" applyAlignment="1">
      <alignment horizontal="center"/>
    </xf>
    <xf numFmtId="0" fontId="8" fillId="0" borderId="48" xfId="7" applyFont="1" applyBorder="1" applyAlignment="1">
      <alignment horizontal="center"/>
    </xf>
    <xf numFmtId="0" fontId="24" fillId="4" borderId="37" xfId="7" applyFont="1" applyFill="1" applyBorder="1" applyAlignment="1">
      <alignment vertical="top"/>
    </xf>
    <xf numFmtId="0" fontId="27" fillId="3" borderId="38" xfId="7" applyFont="1" applyFill="1" applyBorder="1"/>
    <xf numFmtId="0" fontId="27" fillId="3" borderId="26" xfId="7" applyFont="1" applyFill="1" applyBorder="1"/>
    <xf numFmtId="0" fontId="26" fillId="3" borderId="39" xfId="7" applyFont="1" applyFill="1" applyBorder="1" applyAlignment="1">
      <alignment horizontal="right"/>
    </xf>
    <xf numFmtId="0" fontId="26" fillId="6" borderId="25" xfId="7" applyFont="1" applyFill="1" applyBorder="1" applyAlignment="1">
      <alignment horizontal="left"/>
    </xf>
    <xf numFmtId="0" fontId="24" fillId="4" borderId="41" xfId="7" applyFont="1" applyFill="1" applyBorder="1" applyAlignment="1">
      <alignment vertical="top"/>
    </xf>
    <xf numFmtId="0" fontId="27" fillId="3" borderId="1" xfId="7" applyFont="1" applyFill="1" applyBorder="1"/>
    <xf numFmtId="0" fontId="26" fillId="3" borderId="3" xfId="7" applyFont="1" applyFill="1" applyBorder="1" applyAlignment="1">
      <alignment horizontal="right"/>
    </xf>
    <xf numFmtId="0" fontId="26" fillId="6" borderId="2" xfId="7" applyFont="1" applyFill="1" applyBorder="1" applyAlignment="1">
      <alignment horizontal="left"/>
    </xf>
    <xf numFmtId="0" fontId="5" fillId="3" borderId="13" xfId="7" applyFont="1" applyFill="1" applyBorder="1"/>
    <xf numFmtId="0" fontId="26" fillId="6" borderId="2" xfId="7" applyFont="1" applyFill="1" applyBorder="1"/>
    <xf numFmtId="0" fontId="27" fillId="3" borderId="49" xfId="7" applyFont="1" applyFill="1" applyBorder="1"/>
    <xf numFmtId="0" fontId="26" fillId="3" borderId="50" xfId="7" applyFont="1" applyFill="1" applyBorder="1"/>
    <xf numFmtId="0" fontId="26" fillId="3" borderId="51" xfId="7" applyFont="1" applyFill="1" applyBorder="1" applyAlignment="1">
      <alignment horizontal="right"/>
    </xf>
    <xf numFmtId="0" fontId="26" fillId="6" borderId="52" xfId="7" applyFont="1" applyFill="1" applyBorder="1" applyAlignment="1">
      <alignment horizontal="left"/>
    </xf>
    <xf numFmtId="0" fontId="8" fillId="0" borderId="52" xfId="7" applyFont="1" applyBorder="1" applyAlignment="1">
      <alignment horizontal="center"/>
    </xf>
    <xf numFmtId="0" fontId="8" fillId="0" borderId="53" xfId="7" applyFont="1" applyBorder="1" applyAlignment="1">
      <alignment horizontal="center"/>
    </xf>
    <xf numFmtId="0" fontId="26" fillId="0" borderId="54" xfId="7" applyFont="1" applyBorder="1" applyAlignment="1">
      <alignment horizontal="left"/>
    </xf>
    <xf numFmtId="0" fontId="26" fillId="0" borderId="54" xfId="7" applyFont="1" applyBorder="1" applyAlignment="1">
      <alignment horizontal="center"/>
    </xf>
    <xf numFmtId="0" fontId="26" fillId="0" borderId="55" xfId="7" applyFont="1" applyBorder="1" applyAlignment="1">
      <alignment horizontal="center"/>
    </xf>
    <xf numFmtId="0" fontId="31" fillId="0" borderId="2" xfId="7" applyFont="1" applyBorder="1" applyAlignment="1">
      <alignment horizontal="left"/>
    </xf>
    <xf numFmtId="0" fontId="26" fillId="0" borderId="2" xfId="7" applyFont="1" applyBorder="1" applyAlignment="1">
      <alignment horizontal="center"/>
    </xf>
    <xf numFmtId="0" fontId="26" fillId="0" borderId="42" xfId="7" applyFont="1" applyBorder="1" applyAlignment="1">
      <alignment horizontal="center"/>
    </xf>
    <xf numFmtId="0" fontId="26" fillId="0" borderId="2" xfId="7" applyFont="1" applyBorder="1"/>
    <xf numFmtId="171" fontId="26" fillId="0" borderId="2" xfId="7" applyNumberFormat="1" applyFont="1" applyBorder="1" applyAlignment="1">
      <alignment vertical="top"/>
    </xf>
    <xf numFmtId="171" fontId="26" fillId="0" borderId="42" xfId="7" applyNumberFormat="1" applyFont="1" applyBorder="1" applyAlignment="1">
      <alignment vertical="top"/>
    </xf>
    <xf numFmtId="0" fontId="24" fillId="4" borderId="56" xfId="7" applyFont="1" applyFill="1" applyBorder="1" applyAlignment="1">
      <alignment vertical="top"/>
    </xf>
    <xf numFmtId="0" fontId="26" fillId="0" borderId="47" xfId="7" applyFont="1" applyBorder="1"/>
    <xf numFmtId="0" fontId="26" fillId="0" borderId="48" xfId="7" applyFont="1" applyBorder="1"/>
    <xf numFmtId="0" fontId="24" fillId="0" borderId="0" xfId="7" applyFont="1" applyAlignment="1">
      <alignment vertical="top"/>
    </xf>
    <xf numFmtId="0" fontId="38" fillId="4" borderId="0" xfId="6" applyFont="1" applyFill="1">
      <alignment vertical="center"/>
    </xf>
    <xf numFmtId="0" fontId="39" fillId="0" borderId="57" xfId="6" applyFont="1" applyBorder="1" applyAlignment="1">
      <alignment vertical="center" wrapText="1"/>
    </xf>
    <xf numFmtId="0" fontId="39" fillId="7" borderId="57" xfId="6" applyFont="1" applyFill="1" applyBorder="1" applyAlignment="1">
      <alignment vertical="center" wrapText="1"/>
    </xf>
    <xf numFmtId="0" fontId="40" fillId="4" borderId="2" xfId="6" applyFont="1" applyFill="1" applyBorder="1">
      <alignment vertical="center"/>
    </xf>
    <xf numFmtId="0" fontId="39" fillId="0" borderId="0" xfId="6" applyFont="1">
      <alignment vertical="center"/>
    </xf>
    <xf numFmtId="0" fontId="42" fillId="3" borderId="1" xfId="0" applyFont="1" applyFill="1" applyBorder="1" applyAlignment="1">
      <alignment horizontal="left" vertical="center" wrapText="1"/>
    </xf>
    <xf numFmtId="0" fontId="42" fillId="3" borderId="13" xfId="0" applyFont="1" applyFill="1" applyBorder="1" applyAlignment="1">
      <alignment horizontal="left" vertical="center" wrapText="1"/>
    </xf>
    <xf numFmtId="0" fontId="16" fillId="0" borderId="2" xfId="10" applyFont="1" applyBorder="1" applyAlignment="1">
      <alignment horizontal="center" vertical="center"/>
    </xf>
    <xf numFmtId="0" fontId="12" fillId="0" borderId="2" xfId="10" applyFont="1" applyBorder="1" applyAlignment="1">
      <alignment horizontal="left"/>
    </xf>
    <xf numFmtId="0" fontId="12" fillId="0" borderId="2" xfId="10" applyFont="1" applyBorder="1" applyAlignment="1">
      <alignment horizontal="left" vertical="center"/>
    </xf>
    <xf numFmtId="1" fontId="11" fillId="3" borderId="2" xfId="10" applyNumberFormat="1" applyFont="1" applyFill="1" applyBorder="1" applyAlignment="1">
      <alignment vertical="center" wrapText="1"/>
    </xf>
    <xf numFmtId="0" fontId="12" fillId="3" borderId="2" xfId="6" applyFont="1" applyFill="1" applyBorder="1" applyAlignment="1">
      <alignment horizontal="left" vertical="top" wrapText="1"/>
    </xf>
    <xf numFmtId="1" fontId="11" fillId="3" borderId="1" xfId="10" applyNumberFormat="1" applyFont="1" applyFill="1" applyBorder="1"/>
    <xf numFmtId="0" fontId="12" fillId="3" borderId="2" xfId="10" applyFont="1" applyFill="1" applyBorder="1" applyAlignment="1">
      <alignment horizontal="left"/>
    </xf>
    <xf numFmtId="1" fontId="11" fillId="3" borderId="2" xfId="10" applyNumberFormat="1" applyFont="1" applyFill="1" applyBorder="1" applyAlignment="1">
      <alignment horizontal="left"/>
    </xf>
    <xf numFmtId="0" fontId="11" fillId="3" borderId="2" xfId="10" applyFont="1" applyFill="1" applyBorder="1" applyAlignment="1">
      <alignment horizontal="left"/>
    </xf>
    <xf numFmtId="168" fontId="12" fillId="3" borderId="2" xfId="6" applyNumberFormat="1" applyFont="1" applyFill="1" applyBorder="1" applyAlignment="1">
      <alignment horizontal="left" vertical="top"/>
    </xf>
    <xf numFmtId="0" fontId="12" fillId="3" borderId="2" xfId="7" applyFont="1" applyFill="1" applyBorder="1" applyAlignment="1">
      <alignment vertical="top"/>
    </xf>
    <xf numFmtId="0" fontId="16" fillId="3" borderId="0" xfId="7" applyFont="1" applyFill="1" applyAlignment="1">
      <alignment horizontal="center"/>
    </xf>
    <xf numFmtId="0" fontId="11" fillId="3" borderId="2" xfId="10" applyFont="1" applyFill="1" applyBorder="1" applyAlignment="1">
      <alignment horizontal="center"/>
    </xf>
    <xf numFmtId="0" fontId="26" fillId="0" borderId="54" xfId="10" applyFont="1" applyBorder="1" applyAlignment="1">
      <alignment horizontal="left"/>
    </xf>
    <xf numFmtId="0" fontId="26" fillId="0" borderId="2" xfId="10" applyFont="1" applyBorder="1" applyAlignment="1">
      <alignment horizontal="left"/>
    </xf>
    <xf numFmtId="0" fontId="26" fillId="0" borderId="2" xfId="10" applyFont="1" applyBorder="1" applyAlignment="1">
      <alignment horizontal="left" vertical="top"/>
    </xf>
    <xf numFmtId="0" fontId="26" fillId="0" borderId="47" xfId="10" applyFont="1" applyBorder="1" applyAlignment="1">
      <alignment horizontal="left" vertical="top"/>
    </xf>
    <xf numFmtId="0" fontId="26" fillId="3" borderId="29" xfId="10" applyFont="1" applyFill="1" applyBorder="1" applyAlignment="1">
      <alignment horizontal="center" vertical="center"/>
    </xf>
    <xf numFmtId="0" fontId="26" fillId="3" borderId="30" xfId="10" applyFont="1" applyFill="1" applyBorder="1" applyAlignment="1">
      <alignment horizontal="center" vertical="center"/>
    </xf>
    <xf numFmtId="0" fontId="26" fillId="3" borderId="32" xfId="10" applyFont="1" applyFill="1" applyBorder="1" applyAlignment="1">
      <alignment horizontal="center" vertical="center"/>
    </xf>
    <xf numFmtId="0" fontId="26" fillId="0" borderId="0" xfId="10" applyFont="1" applyAlignment="1">
      <alignment horizontal="right"/>
    </xf>
    <xf numFmtId="0" fontId="27" fillId="3" borderId="24" xfId="10" applyFont="1" applyFill="1" applyBorder="1" applyAlignment="1">
      <alignment horizontal="center" vertical="center"/>
    </xf>
    <xf numFmtId="0" fontId="27" fillId="3" borderId="2" xfId="10" applyFont="1" applyFill="1" applyBorder="1" applyAlignment="1">
      <alignment horizontal="center" vertical="center" wrapText="1"/>
    </xf>
    <xf numFmtId="0" fontId="27" fillId="3" borderId="13" xfId="10" applyFont="1" applyFill="1" applyBorder="1" applyAlignment="1">
      <alignment horizontal="center" vertical="center" wrapText="1"/>
    </xf>
    <xf numFmtId="0" fontId="27" fillId="3" borderId="28" xfId="10" applyFont="1" applyFill="1" applyBorder="1" applyAlignment="1">
      <alignment horizontal="center" vertical="center" wrapText="1"/>
    </xf>
    <xf numFmtId="0" fontId="27" fillId="3" borderId="24" xfId="8" applyFont="1" applyFill="1" applyBorder="1" applyAlignment="1">
      <alignment horizontal="left" wrapText="1"/>
    </xf>
    <xf numFmtId="0" fontId="28" fillId="3" borderId="1" xfId="8" applyFont="1" applyFill="1" applyBorder="1" applyAlignment="1">
      <alignment horizontal="center" wrapText="1"/>
    </xf>
    <xf numFmtId="0" fontId="27" fillId="3" borderId="2" xfId="8" applyFont="1" applyFill="1" applyBorder="1" applyAlignment="1">
      <alignment horizontal="left" wrapText="1"/>
    </xf>
    <xf numFmtId="0" fontId="26" fillId="3" borderId="28" xfId="8" applyFont="1" applyFill="1" applyBorder="1" applyAlignment="1">
      <alignment horizontal="center" wrapText="1"/>
    </xf>
    <xf numFmtId="0" fontId="28" fillId="3" borderId="28" xfId="8" applyFont="1" applyFill="1" applyBorder="1" applyAlignment="1">
      <alignment horizontal="left" wrapText="1"/>
    </xf>
    <xf numFmtId="0" fontId="27" fillId="3" borderId="20" xfId="8" applyFont="1" applyFill="1" applyBorder="1" applyAlignment="1">
      <alignment horizontal="left" wrapText="1"/>
    </xf>
    <xf numFmtId="49" fontId="28" fillId="3" borderId="21" xfId="8" applyNumberFormat="1" applyFont="1" applyFill="1" applyBorder="1" applyAlignment="1">
      <alignment horizontal="left" wrapText="1"/>
    </xf>
    <xf numFmtId="0" fontId="27" fillId="3" borderId="22" xfId="8" applyFont="1" applyFill="1" applyBorder="1" applyAlignment="1">
      <alignment horizontal="left" wrapText="1"/>
    </xf>
    <xf numFmtId="49" fontId="26" fillId="3" borderId="23" xfId="8" applyNumberFormat="1" applyFont="1" applyFill="1" applyBorder="1" applyAlignment="1">
      <alignment horizontal="center" wrapText="1"/>
    </xf>
    <xf numFmtId="0" fontId="28" fillId="3" borderId="25" xfId="8" applyFont="1" applyFill="1" applyBorder="1" applyAlignment="1">
      <alignment horizontal="left" wrapText="1"/>
    </xf>
    <xf numFmtId="0" fontId="28" fillId="3" borderId="26" xfId="8" applyFont="1" applyFill="1" applyBorder="1" applyAlignment="1">
      <alignment horizontal="left" wrapText="1"/>
    </xf>
    <xf numFmtId="0" fontId="42" fillId="3" borderId="1" xfId="0" applyFont="1" applyFill="1" applyBorder="1" applyAlignment="1">
      <alignment horizontal="left" vertical="center" wrapText="1"/>
    </xf>
    <xf numFmtId="0" fontId="42" fillId="3" borderId="13" xfId="0" applyFont="1" applyFill="1" applyBorder="1" applyAlignment="1">
      <alignment horizontal="left" vertical="center" wrapText="1"/>
    </xf>
    <xf numFmtId="0" fontId="42" fillId="3" borderId="3" xfId="0" applyFont="1" applyFill="1" applyBorder="1" applyAlignment="1">
      <alignment horizontal="left" vertical="center" wrapText="1"/>
    </xf>
    <xf numFmtId="0" fontId="33" fillId="7" borderId="57" xfId="6" applyFont="1" applyFill="1" applyBorder="1" applyAlignment="1">
      <alignment horizontal="left" wrapText="1"/>
    </xf>
    <xf numFmtId="0" fontId="32" fillId="7" borderId="57" xfId="6" applyFont="1" applyFill="1" applyBorder="1" applyAlignment="1">
      <alignment wrapText="1"/>
    </xf>
    <xf numFmtId="0" fontId="33" fillId="0" borderId="57" xfId="6" applyFont="1" applyBorder="1" applyAlignment="1">
      <alignment horizontal="left" wrapText="1"/>
    </xf>
    <xf numFmtId="0" fontId="32" fillId="0" borderId="57" xfId="6" applyFont="1" applyBorder="1" applyAlignment="1">
      <alignment wrapText="1"/>
    </xf>
    <xf numFmtId="0" fontId="24" fillId="4" borderId="0" xfId="6" applyFont="1" applyFill="1" applyAlignment="1">
      <alignment horizontal="left"/>
    </xf>
    <xf numFmtId="0" fontId="24" fillId="4" borderId="0" xfId="6" applyFont="1" applyFill="1" applyAlignment="1"/>
    <xf numFmtId="0" fontId="29" fillId="0" borderId="0" xfId="6" applyFont="1" applyAlignment="1">
      <alignment wrapText="1"/>
    </xf>
    <xf numFmtId="0" fontId="42" fillId="0" borderId="0" xfId="0" applyFont="1" applyAlignment="1">
      <alignment horizontal="left" vertical="center" wrapText="1"/>
    </xf>
    <xf numFmtId="0" fontId="29" fillId="3" borderId="28" xfId="6" applyFont="1" applyFill="1" applyBorder="1" applyAlignment="1">
      <alignment horizontal="left" wrapText="1"/>
    </xf>
    <xf numFmtId="0" fontId="43" fillId="3" borderId="13" xfId="0" applyFont="1" applyFill="1" applyBorder="1" applyAlignment="1">
      <alignment horizontal="left" vertical="center" wrapText="1"/>
    </xf>
    <xf numFmtId="0" fontId="27" fillId="3" borderId="58" xfId="8" applyFont="1" applyFill="1" applyBorder="1" applyAlignment="1">
      <alignment horizontal="left" wrapText="1"/>
    </xf>
    <xf numFmtId="0" fontId="27" fillId="3" borderId="21" xfId="8" applyFont="1" applyFill="1" applyBorder="1" applyAlignment="1">
      <alignment horizontal="left" wrapText="1"/>
    </xf>
    <xf numFmtId="49" fontId="28" fillId="3" borderId="23" xfId="8" applyNumberFormat="1" applyFont="1" applyFill="1" applyBorder="1" applyAlignment="1">
      <alignment horizontal="left" wrapText="1"/>
    </xf>
    <xf numFmtId="0" fontId="27" fillId="3" borderId="59" xfId="8" applyFont="1" applyFill="1" applyBorder="1" applyAlignment="1">
      <alignment horizontal="left" wrapText="1"/>
    </xf>
    <xf numFmtId="0" fontId="27" fillId="3" borderId="25" xfId="8" applyFont="1" applyFill="1" applyBorder="1" applyAlignment="1">
      <alignment horizontal="left" wrapText="1"/>
    </xf>
    <xf numFmtId="0" fontId="26" fillId="0" borderId="54" xfId="11" applyFont="1" applyBorder="1" applyAlignment="1">
      <alignment horizontal="left"/>
    </xf>
    <xf numFmtId="0" fontId="26" fillId="0" borderId="2" xfId="11" applyFont="1" applyBorder="1" applyAlignment="1">
      <alignment horizontal="left"/>
    </xf>
    <xf numFmtId="0" fontId="26" fillId="0" borderId="2" xfId="11" applyFont="1" applyBorder="1" applyAlignment="1">
      <alignment horizontal="left" vertical="top"/>
    </xf>
    <xf numFmtId="0" fontId="26" fillId="0" borderId="47" xfId="11" applyFont="1" applyBorder="1" applyAlignment="1">
      <alignment horizontal="left" vertical="top"/>
    </xf>
    <xf numFmtId="0" fontId="26" fillId="3" borderId="29" xfId="11" applyFont="1" applyFill="1" applyBorder="1" applyAlignment="1">
      <alignment horizontal="center" vertical="center"/>
    </xf>
    <xf numFmtId="0" fontId="26" fillId="3" borderId="30" xfId="11" applyFont="1" applyFill="1" applyBorder="1" applyAlignment="1">
      <alignment horizontal="center" vertical="center"/>
    </xf>
    <xf numFmtId="0" fontId="26" fillId="3" borderId="32" xfId="11" applyFont="1" applyFill="1" applyBorder="1" applyAlignment="1">
      <alignment horizontal="center" vertical="center"/>
    </xf>
    <xf numFmtId="0" fontId="26" fillId="0" borderId="0" xfId="11" applyFont="1" applyAlignment="1">
      <alignment horizontal="right"/>
    </xf>
    <xf numFmtId="0" fontId="27" fillId="3" borderId="24" xfId="11" applyFont="1" applyFill="1" applyBorder="1" applyAlignment="1">
      <alignment horizontal="center" vertical="center"/>
    </xf>
    <xf numFmtId="0" fontId="27" fillId="3" borderId="2" xfId="11" applyFont="1" applyFill="1" applyBorder="1" applyAlignment="1">
      <alignment horizontal="center" vertical="center" wrapText="1"/>
    </xf>
    <xf numFmtId="0" fontId="27" fillId="3" borderId="13" xfId="11" applyFont="1" applyFill="1" applyBorder="1" applyAlignment="1">
      <alignment horizontal="center" vertical="center" wrapText="1"/>
    </xf>
    <xf numFmtId="0" fontId="27" fillId="3" borderId="28" xfId="11" applyFont="1" applyFill="1" applyBorder="1" applyAlignment="1">
      <alignment horizontal="center" vertical="center" wrapText="1"/>
    </xf>
    <xf numFmtId="0" fontId="27" fillId="3" borderId="24" xfId="9" applyFont="1" applyFill="1" applyBorder="1" applyAlignment="1">
      <alignment horizontal="left" wrapText="1"/>
    </xf>
    <xf numFmtId="0" fontId="28" fillId="3" borderId="1" xfId="9" applyFont="1" applyFill="1" applyBorder="1" applyAlignment="1">
      <alignment horizontal="center" wrapText="1"/>
    </xf>
    <xf numFmtId="0" fontId="27" fillId="3" borderId="2" xfId="9" applyFont="1" applyFill="1" applyBorder="1" applyAlignment="1">
      <alignment horizontal="left" wrapText="1"/>
    </xf>
    <xf numFmtId="0" fontId="26" fillId="3" borderId="28" xfId="9" applyFont="1" applyFill="1" applyBorder="1" applyAlignment="1">
      <alignment horizontal="center" wrapText="1"/>
    </xf>
    <xf numFmtId="0" fontId="28" fillId="3" borderId="25" xfId="9" applyFont="1" applyFill="1" applyBorder="1" applyAlignment="1">
      <alignment horizontal="left" wrapText="1"/>
    </xf>
    <xf numFmtId="0" fontId="28" fillId="3" borderId="26" xfId="9" applyFont="1" applyFill="1" applyBorder="1" applyAlignment="1">
      <alignment horizontal="left" wrapText="1"/>
    </xf>
    <xf numFmtId="0" fontId="39" fillId="0" borderId="57" xfId="6" applyFont="1" applyBorder="1" applyAlignment="1">
      <alignment vertical="center" wrapText="1"/>
    </xf>
    <xf numFmtId="0" fontId="41" fillId="3" borderId="1" xfId="0" applyFont="1" applyFill="1" applyBorder="1" applyAlignment="1">
      <alignment horizontal="left" vertical="center" wrapText="1"/>
    </xf>
    <xf numFmtId="0" fontId="41" fillId="3" borderId="13" xfId="0" applyFont="1" applyFill="1" applyBorder="1" applyAlignment="1">
      <alignment horizontal="left" vertical="center" wrapText="1"/>
    </xf>
    <xf numFmtId="0" fontId="41" fillId="3" borderId="3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39" fillId="7" borderId="57" xfId="6" applyFont="1" applyFill="1" applyBorder="1" applyAlignment="1">
      <alignment vertical="center" wrapText="1"/>
    </xf>
    <xf numFmtId="0" fontId="26" fillId="0" borderId="2" xfId="7" applyFont="1" applyBorder="1" applyAlignment="1">
      <alignment horizontal="left"/>
    </xf>
    <xf numFmtId="0" fontId="26" fillId="0" borderId="2" xfId="7" applyFont="1" applyBorder="1" applyAlignment="1">
      <alignment horizontal="left" vertical="top"/>
    </xf>
    <xf numFmtId="0" fontId="26" fillId="0" borderId="47" xfId="7" applyFont="1" applyBorder="1" applyAlignment="1">
      <alignment horizontal="left" vertical="top"/>
    </xf>
    <xf numFmtId="0" fontId="37" fillId="0" borderId="0" xfId="6" applyFont="1" applyAlignment="1">
      <alignment vertical="center" wrapText="1"/>
    </xf>
    <xf numFmtId="0" fontId="38" fillId="4" borderId="0" xfId="6" applyFont="1" applyFill="1">
      <alignment vertical="center"/>
    </xf>
    <xf numFmtId="0" fontId="26" fillId="3" borderId="29" xfId="7" applyFont="1" applyFill="1" applyBorder="1" applyAlignment="1">
      <alignment horizontal="center" vertical="center"/>
    </xf>
    <xf numFmtId="0" fontId="26" fillId="3" borderId="30" xfId="7" applyFont="1" applyFill="1" applyBorder="1" applyAlignment="1">
      <alignment horizontal="center" vertical="center"/>
    </xf>
    <xf numFmtId="0" fontId="26" fillId="3" borderId="32" xfId="7" applyFont="1" applyFill="1" applyBorder="1" applyAlignment="1">
      <alignment horizontal="center" vertical="center"/>
    </xf>
    <xf numFmtId="0" fontId="26" fillId="0" borderId="54" xfId="7" applyFont="1" applyBorder="1" applyAlignment="1">
      <alignment horizontal="left"/>
    </xf>
    <xf numFmtId="0" fontId="27" fillId="3" borderId="24" xfId="7" applyFont="1" applyFill="1" applyBorder="1" applyAlignment="1">
      <alignment horizontal="center" vertical="center"/>
    </xf>
    <xf numFmtId="0" fontId="27" fillId="3" borderId="2" xfId="7" applyFont="1" applyFill="1" applyBorder="1" applyAlignment="1">
      <alignment horizontal="center" vertical="center" wrapText="1"/>
    </xf>
    <xf numFmtId="0" fontId="27" fillId="3" borderId="13" xfId="7" applyFont="1" applyFill="1" applyBorder="1" applyAlignment="1">
      <alignment horizontal="center" vertical="center" wrapText="1"/>
    </xf>
    <xf numFmtId="0" fontId="27" fillId="3" borderId="28" xfId="7" applyFont="1" applyFill="1" applyBorder="1" applyAlignment="1">
      <alignment horizontal="center" vertical="center" wrapText="1"/>
    </xf>
    <xf numFmtId="0" fontId="27" fillId="3" borderId="24" xfId="7" applyFont="1" applyFill="1" applyBorder="1" applyAlignment="1">
      <alignment horizontal="left" wrapText="1"/>
    </xf>
    <xf numFmtId="0" fontId="28" fillId="3" borderId="1" xfId="7" applyFont="1" applyFill="1" applyBorder="1" applyAlignment="1">
      <alignment horizontal="center" wrapText="1"/>
    </xf>
    <xf numFmtId="0" fontId="27" fillId="3" borderId="2" xfId="7" applyFont="1" applyFill="1" applyBorder="1" applyAlignment="1">
      <alignment horizontal="left" wrapText="1"/>
    </xf>
    <xf numFmtId="0" fontId="26" fillId="3" borderId="28" xfId="7" applyFont="1" applyFill="1" applyBorder="1" applyAlignment="1">
      <alignment horizontal="center" wrapText="1"/>
    </xf>
    <xf numFmtId="0" fontId="27" fillId="3" borderId="20" xfId="7" applyFont="1" applyFill="1" applyBorder="1" applyAlignment="1">
      <alignment horizontal="left" wrapText="1"/>
    </xf>
    <xf numFmtId="49" fontId="28" fillId="3" borderId="21" xfId="7" applyNumberFormat="1" applyFont="1" applyFill="1" applyBorder="1" applyAlignment="1">
      <alignment horizontal="left" wrapText="1"/>
    </xf>
    <xf numFmtId="0" fontId="27" fillId="3" borderId="22" xfId="7" applyFont="1" applyFill="1" applyBorder="1" applyAlignment="1">
      <alignment horizontal="left" wrapText="1"/>
    </xf>
    <xf numFmtId="49" fontId="26" fillId="3" borderId="23" xfId="7" applyNumberFormat="1" applyFont="1" applyFill="1" applyBorder="1" applyAlignment="1">
      <alignment horizontal="center" wrapText="1"/>
    </xf>
    <xf numFmtId="0" fontId="28" fillId="3" borderId="25" xfId="7" applyFont="1" applyFill="1" applyBorder="1" applyAlignment="1">
      <alignment horizontal="left" wrapText="1"/>
    </xf>
    <xf numFmtId="0" fontId="28" fillId="3" borderId="26" xfId="7" applyFont="1" applyFill="1" applyBorder="1" applyAlignment="1">
      <alignment horizontal="left" wrapText="1"/>
    </xf>
    <xf numFmtId="0" fontId="41" fillId="3" borderId="49" xfId="0" applyFont="1" applyFill="1" applyBorder="1" applyAlignment="1">
      <alignment horizontal="left" vertical="center" wrapText="1"/>
    </xf>
    <xf numFmtId="0" fontId="41" fillId="3" borderId="50" xfId="0" applyFont="1" applyFill="1" applyBorder="1" applyAlignment="1">
      <alignment horizontal="left" vertical="center" wrapText="1"/>
    </xf>
    <xf numFmtId="0" fontId="41" fillId="3" borderId="51" xfId="0" applyFont="1" applyFill="1" applyBorder="1" applyAlignment="1">
      <alignment horizontal="left" vertical="center" wrapText="1"/>
    </xf>
  </cellXfs>
  <cellStyles count="14">
    <cellStyle name="*unknown*" xfId="1" xr:uid="{00000000-0005-0000-0000-000006000000}"/>
    <cellStyle name="Comma" xfId="2" xr:uid="{00000000-0005-0000-0000-000001000000}"/>
    <cellStyle name="Comma [0]" xfId="3" xr:uid="{00000000-0005-0000-0000-000002000000}"/>
    <cellStyle name="Currency" xfId="4" xr:uid="{00000000-0005-0000-0000-000003000000}"/>
    <cellStyle name="Currency [0]" xfId="5" xr:uid="{00000000-0005-0000-0000-000004000000}"/>
    <cellStyle name="Normal" xfId="0" builtinId="0"/>
    <cellStyle name="Normal 2" xfId="6" xr:uid="{00000000-0005-0000-0000-000007000000}"/>
    <cellStyle name="Normal_Functional Test Case v1.0" xfId="7" xr:uid="{00000000-0005-0000-0000-000008000000}"/>
    <cellStyle name="Normal_Sheet1" xfId="8" xr:uid="{00000000-0005-0000-0000-000009000000}"/>
    <cellStyle name="Normal_Sheet1_Template_UnitTest Case_v0.9" xfId="9" xr:uid="{00000000-0005-0000-0000-00000A000000}"/>
    <cellStyle name="Normal_Template_UnitTest Case_v0.9" xfId="10" xr:uid="{00000000-0005-0000-0000-00000B000000}"/>
    <cellStyle name="Normal_Template_UnitTest Case_v0.9_Template_UnitTest Case_v0.9" xfId="11" xr:uid="{00000000-0005-0000-0000-00000C000000}"/>
    <cellStyle name="Percent" xfId="12" xr:uid="{00000000-0005-0000-0000-000005000000}"/>
    <cellStyle name="標準_結合試験(AllOvertheWorld)" xfId="13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18A30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 b="1" u="none" strike="noStrike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Test Type</a:t>
            </a:r>
          </a:p>
        </c:rich>
      </c:tx>
      <c:layout>
        <c:manualLayout>
          <c:xMode val="edge"/>
          <c:yMode val="edge"/>
          <c:x val="0.41983637146547997"/>
          <c:y val="5.07428571428570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6401607578585"/>
          <c:y val="0.27874285714285701"/>
          <c:w val="0.40864073489306701"/>
          <c:h val="0.603657142857143"/>
        </c:manualLayout>
      </c:layout>
      <c:pieChart>
        <c:varyColors val="1"/>
        <c:ser>
          <c:idx val="0"/>
          <c:order val="0"/>
          <c:tx>
            <c:v>Count</c:v>
          </c:tx>
          <c:spPr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54F-4773-95A9-373D2578584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154F-4773-95A9-373D2578584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154F-4773-95A9-373D2578584C}"/>
              </c:ext>
            </c:extLst>
          </c:dPt>
          <c:dLbls>
            <c:dLbl>
              <c:idx val="0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4F-4773-95A9-373D2578584C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4F-4773-95A9-373D2578584C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4F-4773-95A9-373D257858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1000" b="0" u="none" strike="noStrike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extLst>
              <c:ext xmlns:c15="http://schemas.microsoft.com/office/drawing/2012/chart" uri="{CE6537A1-D6FC-4f65-9D91-7224C49458BB}"/>
            </c:extLst>
          </c:dLbls>
          <c:cat>
            <c:strRef>
              <c:f>Statistics!$K$12:$K$14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Statistics!$L$12:$L$14</c:f>
              <c:numCache>
                <c:formatCode>General</c:formatCode>
                <c:ptCount val="3"/>
                <c:pt idx="0">
                  <c:v>41</c:v>
                </c:pt>
                <c:pt idx="1">
                  <c:v>39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4F-4773-95A9-373D25785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9692250990509494"/>
          <c:y val="0.394736842105263"/>
          <c:w val="8.1267852206763094E-2"/>
          <c:h val="0.30610179294389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 anchorCtr="1"/>
        <a:lstStyle/>
        <a:p>
          <a:pPr>
            <a:defRPr sz="690" b="0" u="none" strike="noStrik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00" b="1" u="none" strike="noStrike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Passed Percent</a:t>
            </a:r>
          </a:p>
        </c:rich>
      </c:tx>
      <c:layout>
        <c:manualLayout>
          <c:xMode val="edge"/>
          <c:yMode val="edge"/>
          <c:x val="0.36553524804177501"/>
          <c:y val="5.20821887704647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464339700426001"/>
          <c:y val="0.29084715965278501"/>
          <c:w val="0.35172461179057302"/>
          <c:h val="0.60169212174486297"/>
        </c:manualLayout>
      </c:layout>
      <c:pieChart>
        <c:varyColors val="1"/>
        <c:ser>
          <c:idx val="0"/>
          <c:order val="0"/>
          <c:tx>
            <c:v>Count</c:v>
          </c:tx>
          <c:spPr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302-4321-9119-89B59E7FF81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302-4321-9119-89B59E7FF81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3302-4321-9119-89B59E7FF814}"/>
              </c:ext>
            </c:extLst>
          </c:dPt>
          <c:dLbls>
            <c:dLbl>
              <c:idx val="0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02-4321-9119-89B59E7FF814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2-4321-9119-89B59E7FF814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1000" b="0" u="none" strike="noStrike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02-4321-9119-89B59E7FF8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anchorCtr="1"/>
              <a:lstStyle/>
              <a:p>
                <a:pPr>
                  <a:defRPr sz="1000" b="0" u="none" strike="noStrike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extLst>
              <c:ext xmlns:c15="http://schemas.microsoft.com/office/drawing/2012/chart" uri="{CE6537A1-D6FC-4f65-9D91-7224C49458BB}"/>
            </c:extLst>
          </c:dLbls>
          <c:cat>
            <c:strRef>
              <c:f>Statistics!$M$12:$M$14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Statistics!$N$12:$N$14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02-4321-9119-89B59E7F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774947605997098"/>
          <c:y val="0.43010279001468399"/>
          <c:w val="0.18200870546509801"/>
          <c:h val="0.2901615271659320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 anchorCtr="1"/>
        <a:lstStyle/>
        <a:p>
          <a:pPr>
            <a:defRPr sz="850" b="0" u="none" strike="noStrik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90000</xdr:rowOff>
    </xdr:from>
    <xdr:to>
      <xdr:col>0</xdr:col>
      <xdr:colOff>2241720</xdr:colOff>
      <xdr:row>1</xdr:row>
      <xdr:rowOff>788760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</xdr:col>
      <xdr:colOff>2076450</xdr:colOff>
      <xdr:row>46</xdr:row>
      <xdr:rowOff>28575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6A6EE40-B23C-922D-27DC-132D97FC05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2076450</xdr:colOff>
      <xdr:row>46</xdr:row>
      <xdr:rowOff>28575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EA12585-5198-7F86-3207-872F13CEAA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412200</xdr:colOff>
      <xdr:row>44</xdr:row>
      <xdr:rowOff>0</xdr:rowOff>
    </xdr:from>
    <xdr:to>
      <xdr:col>9</xdr:col>
      <xdr:colOff>2160</xdr:colOff>
      <xdr:row>63</xdr:row>
      <xdr:rowOff>12600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119880</xdr:colOff>
      <xdr:row>44</xdr:row>
      <xdr:rowOff>25200</xdr:rowOff>
    </xdr:from>
    <xdr:to>
      <xdr:col>4</xdr:col>
      <xdr:colOff>253440</xdr:colOff>
      <xdr:row>63</xdr:row>
      <xdr:rowOff>164160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9525</xdr:colOff>
      <xdr:row>53</xdr:row>
      <xdr:rowOff>133350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F41B6DC1-575A-5D09-4512-5E340B8B80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9525</xdr:colOff>
      <xdr:row>53</xdr:row>
      <xdr:rowOff>133350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F4C02206-6F1F-CFBC-094E-9A346424B5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9525</xdr:colOff>
      <xdr:row>41</xdr:row>
      <xdr:rowOff>323850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32A989D2-35D9-FC78-CC6B-72B3636DD4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9525</xdr:colOff>
      <xdr:row>41</xdr:row>
      <xdr:rowOff>323850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37B1E01E-0458-0F80-96FE-AFA1BBAFC7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9525</xdr:colOff>
      <xdr:row>41</xdr:row>
      <xdr:rowOff>352425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FDBC615E-CFE9-B24E-B4E6-5EF5BACC42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9525</xdr:colOff>
      <xdr:row>41</xdr:row>
      <xdr:rowOff>352425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899C0E7-709E-5E20-F225-519CF2DCB3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114300</xdr:colOff>
      <xdr:row>41</xdr:row>
      <xdr:rowOff>533400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2B936203-D14F-C8CC-1421-9C2D4F36C9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114300</xdr:colOff>
      <xdr:row>41</xdr:row>
      <xdr:rowOff>533400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C5CCBD-0927-C967-9179-0A03BE25D1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9"/>
  <sheetViews>
    <sheetView workbookViewId="0"/>
  </sheetViews>
  <sheetFormatPr defaultColWidth="10.140625" defaultRowHeight="14.25"/>
  <cols>
    <col min="1" max="1" width="135.42578125" style="2" customWidth="1"/>
    <col min="2" max="257" width="10.140625" style="2"/>
  </cols>
  <sheetData>
    <row r="1" spans="1:257" ht="22.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spans="1:257" ht="22.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spans="1:257" ht="18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spans="1:257" ht="15" customHeight="1">
      <c r="A4" s="7" t="s">
        <v>2</v>
      </c>
    </row>
    <row r="5" spans="1:257" ht="15" customHeight="1">
      <c r="A5" s="7" t="s">
        <v>3</v>
      </c>
    </row>
    <row r="6" spans="1:257" ht="38.25">
      <c r="A6" s="8" t="s">
        <v>4</v>
      </c>
    </row>
    <row r="7" spans="1:257" ht="29.25" customHeight="1">
      <c r="A7" s="8" t="s">
        <v>5</v>
      </c>
    </row>
    <row r="8" spans="1:257" ht="30" customHeight="1">
      <c r="A8" s="9" t="s">
        <v>6</v>
      </c>
    </row>
    <row r="9" spans="1:257" ht="16.5" customHeight="1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spans="1:257" ht="16.5" customHeight="1">
      <c r="A10" s="12"/>
    </row>
    <row r="11" spans="1:257" ht="18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</row>
    <row r="12" spans="1:257" ht="15">
      <c r="A12" s="13" t="s"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</row>
    <row r="13" spans="1:257" ht="25.5">
      <c r="A13" s="7" t="s">
        <v>10</v>
      </c>
    </row>
    <row r="14" spans="1:257">
      <c r="A14" s="7" t="s">
        <v>11</v>
      </c>
    </row>
    <row r="15" spans="1:257">
      <c r="A15" s="8" t="s">
        <v>12</v>
      </c>
    </row>
    <row r="16" spans="1:257">
      <c r="A16" s="12"/>
    </row>
    <row r="17" spans="1:257" ht="15">
      <c r="A17" s="13" t="s">
        <v>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</row>
    <row r="18" spans="1:257">
      <c r="A18" s="7" t="s">
        <v>14</v>
      </c>
      <c r="B18" s="12"/>
    </row>
    <row r="19" spans="1:257">
      <c r="A19" s="13" t="s">
        <v>15</v>
      </c>
    </row>
    <row r="20" spans="1:257">
      <c r="A20" s="7" t="s">
        <v>16</v>
      </c>
      <c r="B20" s="12"/>
    </row>
    <row r="21" spans="1:257" ht="25.5">
      <c r="A21" s="8" t="s">
        <v>17</v>
      </c>
    </row>
    <row r="22" spans="1:257">
      <c r="A22" s="7" t="s">
        <v>18</v>
      </c>
      <c r="B22" s="12"/>
    </row>
    <row r="23" spans="1:257">
      <c r="A23" s="7" t="s">
        <v>19</v>
      </c>
      <c r="B23" s="12"/>
    </row>
    <row r="24" spans="1:257">
      <c r="A24" s="7" t="s">
        <v>20</v>
      </c>
      <c r="B24" s="12"/>
    </row>
    <row r="25" spans="1:257">
      <c r="A25" s="7" t="s">
        <v>21</v>
      </c>
      <c r="B25" s="12"/>
      <c r="C25" s="12" t="s">
        <v>22</v>
      </c>
      <c r="D25" s="12" t="s">
        <v>22</v>
      </c>
    </row>
    <row r="26" spans="1:257">
      <c r="A26" s="7" t="s">
        <v>23</v>
      </c>
    </row>
    <row r="27" spans="1:257">
      <c r="A27" s="7" t="s">
        <v>24</v>
      </c>
      <c r="B27" s="12"/>
    </row>
    <row r="28" spans="1:257">
      <c r="A28" s="7" t="s">
        <v>25</v>
      </c>
    </row>
    <row r="29" spans="1:257">
      <c r="A29" s="7" t="s">
        <v>26</v>
      </c>
    </row>
    <row r="30" spans="1:257">
      <c r="A30" s="7" t="s">
        <v>27</v>
      </c>
      <c r="B30" s="12"/>
      <c r="C30" s="12" t="s">
        <v>22</v>
      </c>
    </row>
    <row r="31" spans="1:257">
      <c r="A31" s="13" t="s">
        <v>28</v>
      </c>
    </row>
    <row r="32" spans="1:257" ht="30" customHeight="1">
      <c r="A32" s="8" t="s">
        <v>29</v>
      </c>
    </row>
    <row r="33" spans="1:257">
      <c r="A33" s="7" t="s">
        <v>30</v>
      </c>
    </row>
    <row r="34" spans="1:257">
      <c r="A34" s="7" t="s">
        <v>31</v>
      </c>
    </row>
    <row r="35" spans="1:257">
      <c r="A35" s="7" t="s">
        <v>32</v>
      </c>
      <c r="B35" s="12"/>
    </row>
    <row r="36" spans="1:257">
      <c r="A36" s="7" t="s">
        <v>33</v>
      </c>
      <c r="B36" s="12"/>
    </row>
    <row r="37" spans="1:257">
      <c r="A37" s="13" t="s">
        <v>34</v>
      </c>
    </row>
    <row r="38" spans="1:257">
      <c r="A38" s="7" t="s">
        <v>35</v>
      </c>
    </row>
    <row r="39" spans="1:257" ht="38.25">
      <c r="A39" s="9" t="s">
        <v>36</v>
      </c>
      <c r="B39" s="12"/>
    </row>
    <row r="40" spans="1:257">
      <c r="A40" s="9"/>
      <c r="B40" s="12"/>
    </row>
    <row r="41" spans="1:257" ht="15">
      <c r="A41" s="13" t="s">
        <v>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</row>
    <row r="42" spans="1:257">
      <c r="A42" s="7" t="s">
        <v>38</v>
      </c>
    </row>
    <row r="43" spans="1:257">
      <c r="A43" s="7" t="s">
        <v>39</v>
      </c>
    </row>
    <row r="44" spans="1:257">
      <c r="A44" s="7" t="s">
        <v>40</v>
      </c>
    </row>
    <row r="45" spans="1:257">
      <c r="A45" s="7" t="s">
        <v>41</v>
      </c>
    </row>
    <row r="46" spans="1:257">
      <c r="A46" s="7" t="s">
        <v>42</v>
      </c>
    </row>
    <row r="47" spans="1:257">
      <c r="A47" s="7" t="s">
        <v>43</v>
      </c>
    </row>
    <row r="48" spans="1:257">
      <c r="A48" s="12" t="s">
        <v>44</v>
      </c>
    </row>
    <row r="49" spans="1:1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W17"/>
  <sheetViews>
    <sheetView showGridLines="0" workbookViewId="0"/>
  </sheetViews>
  <sheetFormatPr defaultColWidth="10.140625" defaultRowHeight="12.75"/>
  <cols>
    <col min="1" max="1" width="32" style="15" customWidth="1"/>
    <col min="2" max="2" width="11.28515625" style="16" customWidth="1"/>
    <col min="3" max="3" width="16.28515625" style="16" customWidth="1"/>
    <col min="4" max="4" width="9" style="16" customWidth="1"/>
    <col min="5" max="5" width="43.140625" style="16" customWidth="1"/>
    <col min="6" max="6" width="54.7109375" style="16" customWidth="1"/>
    <col min="7" max="257" width="10.140625" style="16"/>
  </cols>
  <sheetData>
    <row r="2" spans="1:257" ht="75.75" customHeight="1">
      <c r="A2" s="17"/>
      <c r="B2" s="339" t="s">
        <v>45</v>
      </c>
      <c r="C2" s="339"/>
      <c r="D2" s="339"/>
      <c r="E2" s="339"/>
      <c r="F2" s="339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</row>
    <row r="3" spans="1:257">
      <c r="A3" s="19"/>
      <c r="B3" s="20"/>
      <c r="E3" s="21"/>
    </row>
    <row r="4" spans="1:257" ht="14.25" customHeight="1">
      <c r="A4" s="1" t="s">
        <v>46</v>
      </c>
      <c r="B4" s="340" t="s">
        <v>47</v>
      </c>
      <c r="C4" s="340"/>
      <c r="D4" s="340"/>
      <c r="E4" s="1" t="s">
        <v>48</v>
      </c>
      <c r="F4" s="22" t="s">
        <v>49</v>
      </c>
    </row>
    <row r="5" spans="1:257" ht="14.25" customHeight="1">
      <c r="A5" s="1" t="s">
        <v>50</v>
      </c>
      <c r="B5" s="340" t="s">
        <v>51</v>
      </c>
      <c r="C5" s="340"/>
      <c r="D5" s="340"/>
      <c r="E5" s="1" t="s">
        <v>52</v>
      </c>
      <c r="F5" s="23">
        <v>46326</v>
      </c>
    </row>
    <row r="6" spans="1:257" ht="15.75" customHeight="1">
      <c r="A6" s="24" t="s">
        <v>53</v>
      </c>
      <c r="B6" s="341" t="s">
        <v>54</v>
      </c>
      <c r="C6" s="341"/>
      <c r="D6" s="341"/>
      <c r="E6" s="1" t="s">
        <v>55</v>
      </c>
      <c r="F6" s="25" t="s">
        <v>56</v>
      </c>
    </row>
    <row r="7" spans="1:257">
      <c r="A7" s="26"/>
      <c r="B7" s="20"/>
      <c r="E7" s="27"/>
      <c r="F7" s="20"/>
    </row>
    <row r="8" spans="1:257">
      <c r="A8" s="16"/>
    </row>
    <row r="9" spans="1:257">
      <c r="A9" s="28" t="s">
        <v>57</v>
      </c>
    </row>
    <row r="10" spans="1:257">
      <c r="A10" s="29" t="s">
        <v>58</v>
      </c>
      <c r="B10" s="30" t="s">
        <v>55</v>
      </c>
      <c r="C10" s="30" t="s">
        <v>59</v>
      </c>
      <c r="D10" s="30" t="s">
        <v>60</v>
      </c>
      <c r="E10" s="30" t="s">
        <v>61</v>
      </c>
      <c r="F10" s="31" t="s">
        <v>62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</row>
    <row r="11" spans="1:257" ht="57.95" customHeight="1">
      <c r="A11" s="33">
        <v>46326</v>
      </c>
      <c r="B11" s="34" t="s">
        <v>56</v>
      </c>
      <c r="C11" s="35" t="s">
        <v>63</v>
      </c>
      <c r="D11" s="35" t="s">
        <v>64</v>
      </c>
      <c r="E11" s="36" t="s">
        <v>1182</v>
      </c>
      <c r="F11" s="37" t="s">
        <v>1183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</row>
    <row r="12" spans="1:257" ht="21.75" customHeight="1">
      <c r="A12" s="39"/>
      <c r="B12" s="34"/>
      <c r="C12" s="35"/>
      <c r="D12" s="35"/>
      <c r="E12" s="35"/>
      <c r="F12" s="40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</row>
    <row r="13" spans="1:257" ht="19.5" customHeight="1">
      <c r="A13" s="39"/>
      <c r="B13" s="34"/>
      <c r="C13" s="35"/>
      <c r="D13" s="35"/>
      <c r="E13" s="35"/>
      <c r="F13" s="40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</row>
    <row r="14" spans="1:257" ht="21.75" customHeight="1">
      <c r="A14" s="39"/>
      <c r="B14" s="34"/>
      <c r="C14" s="35"/>
      <c r="D14" s="35"/>
      <c r="E14" s="35"/>
      <c r="F14" s="4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</row>
    <row r="15" spans="1:257" ht="19.5" customHeight="1">
      <c r="A15" s="39"/>
      <c r="B15" s="34"/>
      <c r="C15" s="35"/>
      <c r="D15" s="35"/>
      <c r="E15" s="35"/>
      <c r="F15" s="40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</row>
    <row r="16" spans="1:257" ht="21.75" customHeight="1">
      <c r="A16" s="39"/>
      <c r="B16" s="34"/>
      <c r="C16" s="35"/>
      <c r="D16" s="35"/>
      <c r="E16" s="35"/>
      <c r="F16" s="4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</row>
    <row r="17" spans="1:257" ht="19.5" customHeight="1">
      <c r="A17" s="41"/>
      <c r="B17" s="42"/>
      <c r="C17" s="43"/>
      <c r="D17" s="43"/>
      <c r="E17" s="43"/>
      <c r="F17" s="44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W29"/>
  <sheetViews>
    <sheetView showGridLines="0" topLeftCell="A11" workbookViewId="0"/>
  </sheetViews>
  <sheetFormatPr defaultColWidth="10.140625" defaultRowHeight="12.75"/>
  <cols>
    <col min="1" max="1" width="8.140625" style="45" customWidth="1"/>
    <col min="2" max="2" width="16.85546875" style="45" customWidth="1"/>
    <col min="3" max="3" width="11.140625" style="45" customWidth="1"/>
    <col min="4" max="4" width="14" style="46" customWidth="1"/>
    <col min="5" max="5" width="23.85546875" style="47" customWidth="1"/>
    <col min="6" max="6" width="14" style="46" customWidth="1"/>
    <col min="7" max="7" width="47.42578125" style="46" customWidth="1"/>
    <col min="8" max="8" width="58.28515625" style="46" customWidth="1"/>
    <col min="9" max="257" width="10.140625" style="21"/>
  </cols>
  <sheetData>
    <row r="2" spans="1:257" ht="25.5">
      <c r="A2" s="48"/>
      <c r="B2" s="48"/>
      <c r="C2" s="48"/>
      <c r="E2" s="49" t="s">
        <v>65</v>
      </c>
      <c r="F2" s="49"/>
      <c r="G2" s="50"/>
    </row>
    <row r="3" spans="1:257" ht="13.5" customHeight="1">
      <c r="A3" s="48"/>
      <c r="B3" s="48"/>
      <c r="C3" s="48"/>
      <c r="F3" s="51"/>
      <c r="G3" s="51"/>
    </row>
    <row r="4" spans="1:257" ht="14.25" customHeight="1">
      <c r="A4" s="344" t="s">
        <v>46</v>
      </c>
      <c r="B4" s="344"/>
      <c r="C4" s="344"/>
      <c r="D4" s="344"/>
      <c r="E4" s="345" t="s">
        <v>47</v>
      </c>
      <c r="F4" s="345"/>
      <c r="G4" s="345"/>
      <c r="H4" s="345"/>
    </row>
    <row r="5" spans="1:257" ht="14.25" customHeight="1">
      <c r="A5" s="344" t="s">
        <v>50</v>
      </c>
      <c r="B5" s="344"/>
      <c r="C5" s="344"/>
      <c r="D5" s="344"/>
      <c r="E5" s="345" t="s">
        <v>51</v>
      </c>
      <c r="F5" s="345"/>
      <c r="G5" s="345"/>
      <c r="H5" s="345"/>
    </row>
    <row r="6" spans="1:257" ht="14.25" customHeight="1">
      <c r="A6" s="346" t="s">
        <v>66</v>
      </c>
      <c r="B6" s="346"/>
      <c r="C6" s="346"/>
      <c r="D6" s="346"/>
      <c r="E6" s="52" t="s">
        <v>67</v>
      </c>
      <c r="F6" s="53"/>
      <c r="G6" s="53"/>
      <c r="H6" s="54"/>
    </row>
    <row r="7" spans="1:257" ht="44.1" customHeight="1">
      <c r="A7" s="342" t="s">
        <v>68</v>
      </c>
      <c r="B7" s="342"/>
      <c r="C7" s="342"/>
      <c r="D7" s="342"/>
      <c r="E7" s="343" t="s">
        <v>1184</v>
      </c>
      <c r="F7" s="343"/>
      <c r="G7" s="343"/>
      <c r="H7" s="343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</row>
    <row r="8" spans="1:257">
      <c r="A8" s="56"/>
      <c r="B8" s="56"/>
      <c r="C8" s="56"/>
      <c r="D8" s="21"/>
      <c r="E8" s="55"/>
      <c r="F8" s="21"/>
      <c r="G8" s="21"/>
      <c r="H8" s="21"/>
    </row>
    <row r="9" spans="1:257">
      <c r="A9" s="57"/>
      <c r="B9" s="57"/>
      <c r="C9" s="57"/>
      <c r="D9" s="58"/>
      <c r="E9" s="59"/>
      <c r="F9" s="58"/>
      <c r="G9" s="58"/>
      <c r="H9" s="58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</row>
    <row r="10" spans="1:257" ht="24" customHeight="1">
      <c r="A10" s="61" t="s">
        <v>69</v>
      </c>
      <c r="B10" s="62" t="s">
        <v>70</v>
      </c>
      <c r="C10" s="63" t="s">
        <v>71</v>
      </c>
      <c r="D10" s="64" t="s">
        <v>72</v>
      </c>
      <c r="E10" s="65" t="s">
        <v>73</v>
      </c>
      <c r="F10" s="64" t="s">
        <v>74</v>
      </c>
      <c r="G10" s="66" t="s">
        <v>75</v>
      </c>
      <c r="H10" s="67" t="s">
        <v>76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  <c r="EE10" s="68"/>
      <c r="EF10" s="68"/>
      <c r="EG10" s="68"/>
      <c r="EH10" s="68"/>
      <c r="EI10" s="68"/>
      <c r="EJ10" s="68"/>
      <c r="EK10" s="68"/>
      <c r="EL10" s="68"/>
      <c r="EM10" s="68"/>
      <c r="EN10" s="68"/>
      <c r="EO10" s="68"/>
      <c r="EP10" s="68"/>
      <c r="EQ10" s="68"/>
      <c r="ER10" s="68"/>
      <c r="ES10" s="68"/>
      <c r="ET10" s="68"/>
      <c r="EU10" s="68"/>
      <c r="EV10" s="68"/>
      <c r="EW10" s="68"/>
      <c r="EX10" s="68"/>
      <c r="EY10" s="68"/>
      <c r="EZ10" s="68"/>
      <c r="FA10" s="68"/>
      <c r="FB10" s="68"/>
      <c r="FC10" s="68"/>
      <c r="FD10" s="68"/>
      <c r="FE10" s="68"/>
      <c r="FF10" s="68"/>
      <c r="FG10" s="68"/>
      <c r="FH10" s="68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  <c r="GH10" s="68"/>
      <c r="GI10" s="68"/>
      <c r="GJ10" s="68"/>
      <c r="GK10" s="68"/>
      <c r="GL10" s="68"/>
      <c r="GM10" s="68"/>
      <c r="GN10" s="68"/>
      <c r="GO10" s="68"/>
      <c r="GP10" s="68"/>
      <c r="GQ10" s="68"/>
      <c r="GR10" s="68"/>
      <c r="GS10" s="68"/>
      <c r="GT10" s="68"/>
      <c r="GU10" s="68"/>
      <c r="GV10" s="68"/>
      <c r="GW10" s="68"/>
      <c r="GX10" s="68"/>
      <c r="GY10" s="68"/>
      <c r="GZ10" s="68"/>
      <c r="HA10" s="68"/>
      <c r="HB10" s="68"/>
      <c r="HC10" s="68"/>
      <c r="HD10" s="68"/>
      <c r="HE10" s="68"/>
      <c r="HF10" s="68"/>
      <c r="HG10" s="68"/>
      <c r="HH10" s="68"/>
      <c r="HI10" s="68"/>
      <c r="HJ10" s="68"/>
      <c r="HK10" s="68"/>
      <c r="HL10" s="68"/>
      <c r="HM10" s="68"/>
      <c r="HN10" s="68"/>
      <c r="HO10" s="68"/>
      <c r="HP10" s="68"/>
      <c r="HQ10" s="68"/>
      <c r="HR10" s="68"/>
      <c r="HS10" s="68"/>
      <c r="HT10" s="68"/>
      <c r="HU10" s="68"/>
      <c r="HV10" s="68"/>
      <c r="HW10" s="68"/>
      <c r="HX10" s="68"/>
      <c r="HY10" s="68"/>
      <c r="HZ10" s="68"/>
      <c r="IA10" s="68"/>
      <c r="IB10" s="68"/>
      <c r="IC10" s="68"/>
      <c r="ID10" s="68"/>
      <c r="IE10" s="68"/>
      <c r="IF10" s="68"/>
      <c r="IG10" s="68"/>
      <c r="IH10" s="68"/>
      <c r="II10" s="68"/>
      <c r="IJ10" s="68"/>
      <c r="IK10" s="68"/>
      <c r="IL10" s="68"/>
      <c r="IM10" s="68"/>
      <c r="IN10" s="68"/>
      <c r="IO10" s="68"/>
      <c r="IP10" s="68"/>
      <c r="IQ10" s="68"/>
      <c r="IR10" s="68"/>
      <c r="IS10" s="68"/>
      <c r="IT10" s="68"/>
      <c r="IU10" s="68"/>
      <c r="IV10" s="68"/>
      <c r="IW10" s="68"/>
    </row>
    <row r="11" spans="1:257" ht="44.1" customHeight="1">
      <c r="A11" s="69">
        <v>1</v>
      </c>
      <c r="B11" s="70" t="s">
        <v>77</v>
      </c>
      <c r="C11" s="70" t="s">
        <v>78</v>
      </c>
      <c r="D11" s="71" t="s">
        <v>79</v>
      </c>
      <c r="E11" s="71" t="s">
        <v>80</v>
      </c>
      <c r="F11" s="72" t="str">
        <f>HYPERLINK("#'Function 1'!A1","Function 1")</f>
        <v>Function 1</v>
      </c>
      <c r="G11" s="73" t="s">
        <v>81</v>
      </c>
      <c r="H11" s="74" t="s">
        <v>82</v>
      </c>
    </row>
    <row r="12" spans="1:257" ht="44.1" customHeight="1">
      <c r="A12" s="69">
        <v>2</v>
      </c>
      <c r="B12" s="70" t="s">
        <v>83</v>
      </c>
      <c r="C12" s="70" t="s">
        <v>78</v>
      </c>
      <c r="D12" s="71" t="s">
        <v>84</v>
      </c>
      <c r="E12" s="71" t="s">
        <v>85</v>
      </c>
      <c r="F12" s="72" t="str">
        <f>HYPERLINK("#'Function 2'!A1","Function 2")</f>
        <v>Function 2</v>
      </c>
      <c r="G12" s="73" t="s">
        <v>86</v>
      </c>
      <c r="H12" s="74" t="s">
        <v>87</v>
      </c>
    </row>
    <row r="13" spans="1:257" ht="44.1" customHeight="1">
      <c r="A13" s="69">
        <v>3</v>
      </c>
      <c r="B13" s="70" t="s">
        <v>88</v>
      </c>
      <c r="C13" s="70" t="s">
        <v>78</v>
      </c>
      <c r="D13" s="71" t="s">
        <v>89</v>
      </c>
      <c r="E13" s="71" t="s">
        <v>90</v>
      </c>
      <c r="F13" s="72" t="str">
        <f>HYPERLINK("#'Function3'!A1","Function3")</f>
        <v>Function3</v>
      </c>
      <c r="G13" s="73" t="s">
        <v>86</v>
      </c>
      <c r="H13" s="74" t="s">
        <v>91</v>
      </c>
    </row>
    <row r="14" spans="1:257" ht="44.1" customHeight="1">
      <c r="A14" s="69">
        <v>4</v>
      </c>
      <c r="B14" s="70" t="s">
        <v>92</v>
      </c>
      <c r="C14" s="70" t="s">
        <v>93</v>
      </c>
      <c r="D14" s="71" t="s">
        <v>94</v>
      </c>
      <c r="E14" s="71" t="s">
        <v>95</v>
      </c>
      <c r="F14" s="72" t="str">
        <f>HYPERLINK("#'UT-04'!A1","UT-04")</f>
        <v>UT-04</v>
      </c>
      <c r="G14" s="73" t="s">
        <v>96</v>
      </c>
      <c r="H14" s="74" t="s">
        <v>97</v>
      </c>
    </row>
    <row r="15" spans="1:257" ht="44.1" customHeight="1">
      <c r="A15" s="69">
        <v>5</v>
      </c>
      <c r="B15" s="70" t="s">
        <v>98</v>
      </c>
      <c r="C15" s="70" t="s">
        <v>99</v>
      </c>
      <c r="D15" s="71" t="s">
        <v>100</v>
      </c>
      <c r="E15" s="71" t="s">
        <v>101</v>
      </c>
      <c r="F15" s="72" t="str">
        <f>HYPERLINK("#'UT-05'!A1","UT-05")</f>
        <v>UT-05</v>
      </c>
      <c r="G15" s="73" t="s">
        <v>102</v>
      </c>
      <c r="H15" s="74" t="s">
        <v>103</v>
      </c>
    </row>
    <row r="16" spans="1:257" ht="44.1" customHeight="1">
      <c r="A16" s="69">
        <v>6</v>
      </c>
      <c r="B16" s="70" t="s">
        <v>104</v>
      </c>
      <c r="C16" s="70" t="s">
        <v>105</v>
      </c>
      <c r="D16" s="71" t="s">
        <v>106</v>
      </c>
      <c r="E16" s="71" t="s">
        <v>107</v>
      </c>
      <c r="F16" s="72" t="str">
        <f>HYPERLINK("#'UT-06'!A1","UT-06")</f>
        <v>UT-06</v>
      </c>
      <c r="G16" s="73" t="s">
        <v>108</v>
      </c>
      <c r="H16" s="74" t="s">
        <v>109</v>
      </c>
    </row>
    <row r="17" spans="1:8" ht="44.1" customHeight="1">
      <c r="A17" s="69">
        <v>7</v>
      </c>
      <c r="B17" s="70" t="s">
        <v>110</v>
      </c>
      <c r="C17" s="70" t="s">
        <v>111</v>
      </c>
      <c r="D17" s="71" t="s">
        <v>112</v>
      </c>
      <c r="E17" s="71" t="s">
        <v>113</v>
      </c>
      <c r="F17" s="72" t="str">
        <f>HYPERLINK("#'UT-07'!A1","UT-07")</f>
        <v>UT-07</v>
      </c>
      <c r="G17" s="73" t="s">
        <v>114</v>
      </c>
      <c r="H17" s="74" t="s">
        <v>115</v>
      </c>
    </row>
    <row r="18" spans="1:8" ht="44.1" customHeight="1">
      <c r="A18" s="69">
        <v>8</v>
      </c>
      <c r="B18" s="70" t="s">
        <v>116</v>
      </c>
      <c r="C18" s="70" t="s">
        <v>117</v>
      </c>
      <c r="D18" s="71" t="s">
        <v>118</v>
      </c>
      <c r="E18" s="71" t="s">
        <v>119</v>
      </c>
      <c r="F18" s="72" t="str">
        <f>HYPERLINK("#'UT-08'!A1","UT-08")</f>
        <v>UT-08</v>
      </c>
      <c r="G18" s="73" t="s">
        <v>120</v>
      </c>
      <c r="H18" s="74" t="s">
        <v>121</v>
      </c>
    </row>
    <row r="19" spans="1:8" ht="44.1" customHeight="1">
      <c r="A19" s="69">
        <v>9</v>
      </c>
      <c r="B19" s="70" t="s">
        <v>122</v>
      </c>
      <c r="C19" s="70" t="s">
        <v>123</v>
      </c>
      <c r="D19" s="71" t="s">
        <v>124</v>
      </c>
      <c r="E19" s="71" t="s">
        <v>125</v>
      </c>
      <c r="F19" s="72" t="str">
        <f>HYPERLINK("#'UT-09'!A1","UT-09")</f>
        <v>UT-09</v>
      </c>
      <c r="G19" s="73" t="s">
        <v>126</v>
      </c>
      <c r="H19" s="74" t="s">
        <v>127</v>
      </c>
    </row>
    <row r="20" spans="1:8" ht="44.1" customHeight="1">
      <c r="A20" s="69">
        <v>10</v>
      </c>
      <c r="B20" s="70" t="s">
        <v>128</v>
      </c>
      <c r="C20" s="70" t="s">
        <v>129</v>
      </c>
      <c r="D20" s="71" t="s">
        <v>130</v>
      </c>
      <c r="E20" s="71" t="s">
        <v>131</v>
      </c>
      <c r="F20" s="72" t="str">
        <f>HYPERLINK("#'UT-10'!A1","UT-10")</f>
        <v>UT-10</v>
      </c>
      <c r="G20" s="73" t="s">
        <v>132</v>
      </c>
      <c r="H20" s="74" t="s">
        <v>133</v>
      </c>
    </row>
    <row r="21" spans="1:8" ht="44.1" customHeight="1">
      <c r="A21" s="69">
        <v>11</v>
      </c>
      <c r="B21" s="70" t="s">
        <v>134</v>
      </c>
      <c r="C21" s="70" t="s">
        <v>135</v>
      </c>
      <c r="D21" s="71" t="s">
        <v>136</v>
      </c>
      <c r="E21" s="71" t="s">
        <v>137</v>
      </c>
      <c r="F21" s="72" t="str">
        <f>HYPERLINK("#'UT-11'!A1","UT-11")</f>
        <v>UT-11</v>
      </c>
      <c r="G21" s="73" t="s">
        <v>138</v>
      </c>
      <c r="H21" s="74" t="s">
        <v>139</v>
      </c>
    </row>
    <row r="22" spans="1:8" ht="44.1" customHeight="1">
      <c r="A22" s="69">
        <v>12</v>
      </c>
      <c r="B22" s="70" t="s">
        <v>140</v>
      </c>
      <c r="C22" s="70" t="s">
        <v>141</v>
      </c>
      <c r="D22" s="71" t="s">
        <v>142</v>
      </c>
      <c r="E22" s="71" t="s">
        <v>143</v>
      </c>
      <c r="F22" s="72" t="str">
        <f>HYPERLINK("#'UT-12'!A1","UT-12")</f>
        <v>UT-12</v>
      </c>
      <c r="G22" s="73" t="s">
        <v>144</v>
      </c>
      <c r="H22" s="74" t="s">
        <v>145</v>
      </c>
    </row>
    <row r="23" spans="1:8" ht="44.1" customHeight="1">
      <c r="A23" s="69">
        <v>13</v>
      </c>
      <c r="B23" s="70" t="s">
        <v>146</v>
      </c>
      <c r="C23" s="70" t="s">
        <v>147</v>
      </c>
      <c r="D23" s="71" t="s">
        <v>148</v>
      </c>
      <c r="E23" s="71" t="s">
        <v>149</v>
      </c>
      <c r="F23" s="72" t="str">
        <f>HYPERLINK("#'UT-13'!A1","UT-13")</f>
        <v>UT-13</v>
      </c>
      <c r="G23" s="73" t="s">
        <v>150</v>
      </c>
      <c r="H23" s="74" t="s">
        <v>151</v>
      </c>
    </row>
    <row r="24" spans="1:8" ht="44.1" customHeight="1">
      <c r="A24" s="69">
        <v>14</v>
      </c>
      <c r="B24" s="70" t="s">
        <v>152</v>
      </c>
      <c r="C24" s="70" t="s">
        <v>153</v>
      </c>
      <c r="D24" s="71" t="s">
        <v>154</v>
      </c>
      <c r="E24" s="71" t="s">
        <v>155</v>
      </c>
      <c r="F24" s="72" t="str">
        <f>HYPERLINK("#'UT-14'!A1","UT-14")</f>
        <v>UT-14</v>
      </c>
      <c r="G24" s="73" t="s">
        <v>156</v>
      </c>
      <c r="H24" s="74" t="s">
        <v>157</v>
      </c>
    </row>
    <row r="25" spans="1:8" ht="44.1" customHeight="1">
      <c r="A25" s="69">
        <v>15</v>
      </c>
      <c r="B25" s="70" t="s">
        <v>158</v>
      </c>
      <c r="C25" s="70" t="s">
        <v>159</v>
      </c>
      <c r="D25" s="71" t="s">
        <v>160</v>
      </c>
      <c r="E25" s="71" t="s">
        <v>161</v>
      </c>
      <c r="F25" s="72" t="str">
        <f>HYPERLINK("#'UT-15'!A1","UT-15")</f>
        <v>UT-15</v>
      </c>
      <c r="G25" s="73" t="s">
        <v>162</v>
      </c>
      <c r="H25" s="74" t="s">
        <v>163</v>
      </c>
    </row>
    <row r="26" spans="1:8" ht="44.1" customHeight="1">
      <c r="A26" s="69">
        <v>16</v>
      </c>
      <c r="B26" s="70" t="s">
        <v>164</v>
      </c>
      <c r="C26" s="70" t="s">
        <v>165</v>
      </c>
      <c r="D26" s="71" t="s">
        <v>166</v>
      </c>
      <c r="E26" s="71" t="s">
        <v>167</v>
      </c>
      <c r="F26" s="72" t="str">
        <f>HYPERLINK("#'UT-16'!A1","UT-16")</f>
        <v>UT-16</v>
      </c>
      <c r="G26" s="73" t="s">
        <v>168</v>
      </c>
      <c r="H26" s="74" t="s">
        <v>169</v>
      </c>
    </row>
    <row r="27" spans="1:8" ht="44.1" customHeight="1">
      <c r="A27" s="69">
        <v>17</v>
      </c>
      <c r="B27" s="70" t="s">
        <v>170</v>
      </c>
      <c r="C27" s="70" t="s">
        <v>171</v>
      </c>
      <c r="D27" s="71" t="s">
        <v>172</v>
      </c>
      <c r="E27" s="71" t="s">
        <v>173</v>
      </c>
      <c r="F27" s="72" t="str">
        <f>HYPERLINK("#'UT-17'!A1","UT-17")</f>
        <v>UT-17</v>
      </c>
      <c r="G27" s="73" t="s">
        <v>174</v>
      </c>
      <c r="H27" s="74" t="s">
        <v>175</v>
      </c>
    </row>
    <row r="28" spans="1:8" ht="44.1" customHeight="1">
      <c r="A28" s="69">
        <v>18</v>
      </c>
      <c r="B28" s="70" t="s">
        <v>176</v>
      </c>
      <c r="C28" s="70" t="s">
        <v>177</v>
      </c>
      <c r="D28" s="71" t="s">
        <v>178</v>
      </c>
      <c r="E28" s="71" t="s">
        <v>179</v>
      </c>
      <c r="F28" s="72" t="str">
        <f>HYPERLINK("#'UT-18'!A1","UT-18")</f>
        <v>UT-18</v>
      </c>
      <c r="G28" s="73" t="s">
        <v>180</v>
      </c>
      <c r="H28" s="74" t="s">
        <v>181</v>
      </c>
    </row>
    <row r="29" spans="1:8" ht="44.1" customHeight="1">
      <c r="A29" s="69">
        <v>19</v>
      </c>
      <c r="B29" s="70" t="s">
        <v>182</v>
      </c>
      <c r="C29" s="70" t="s">
        <v>183</v>
      </c>
      <c r="D29" s="71" t="s">
        <v>184</v>
      </c>
      <c r="E29" s="71" t="s">
        <v>185</v>
      </c>
      <c r="F29" s="72" t="str">
        <f>HYPERLINK("#'UT-19'!A1","UT-19")</f>
        <v>UT-19</v>
      </c>
      <c r="G29" s="73" t="s">
        <v>186</v>
      </c>
      <c r="H29" s="74" t="s">
        <v>187</v>
      </c>
    </row>
  </sheetData>
  <mergeCells count="7">
    <mergeCell ref="A7:D7"/>
    <mergeCell ref="E7:H7"/>
    <mergeCell ref="A4:D4"/>
    <mergeCell ref="E4:H4"/>
    <mergeCell ref="A5:D5"/>
    <mergeCell ref="E5:H5"/>
    <mergeCell ref="A6:D6"/>
  </mergeCells>
  <hyperlinks>
    <hyperlink ref="F11" location="Function1!A1" display="Function1!A1" xr:uid="{00000000-0004-0000-0200-000000000000}"/>
    <hyperlink ref="F12" location="Function1!A1" display="Function1!A1" xr:uid="{00000000-0004-0000-0200-000001000000}"/>
    <hyperlink ref="F13" location="Function1!A1" display="Function1!A1" xr:uid="{00000000-0004-0000-0200-000002000000}"/>
    <hyperlink ref="F14" location="Function1!A1" display="Function1!A1" xr:uid="{00000000-0004-0000-0200-000003000000}"/>
    <hyperlink ref="F15" location="Function1!A1" display="Function1!A1" xr:uid="{00000000-0004-0000-0200-000004000000}"/>
    <hyperlink ref="F16" location="Function1!A1" display="Function1!A1" xr:uid="{00000000-0004-0000-0200-000005000000}"/>
    <hyperlink ref="F17" location="Function1!A1" display="Function1!A1" xr:uid="{00000000-0004-0000-0200-000006000000}"/>
    <hyperlink ref="F18" location="Function1!A1" display="Function1!A1" xr:uid="{00000000-0004-0000-0200-000007000000}"/>
    <hyperlink ref="F19" location="Function1!A1" display="Function1!A1" xr:uid="{00000000-0004-0000-0200-000008000000}"/>
    <hyperlink ref="F20" location="Function1!A1" display="Function1!A1" xr:uid="{00000000-0004-0000-0200-000009000000}"/>
    <hyperlink ref="F21" location="Function1!A1" display="Function1!A1" xr:uid="{00000000-0004-0000-0200-00000A000000}"/>
    <hyperlink ref="F22" location="Function1!A1" display="Function1!A1" xr:uid="{00000000-0004-0000-0200-00000B000000}"/>
    <hyperlink ref="F23" location="Function1!A1" display="Function1!A1" xr:uid="{00000000-0004-0000-0200-00000C000000}"/>
    <hyperlink ref="F24" location="Function1!A1" display="Function1!A1" xr:uid="{00000000-0004-0000-0200-00000D000000}"/>
    <hyperlink ref="F25" location="Function1!A1" display="Function1!A1" xr:uid="{00000000-0004-0000-0200-00000E000000}"/>
    <hyperlink ref="F26" location="Function1!A1" display="Function1!A1" xr:uid="{00000000-0004-0000-0200-00000F000000}"/>
    <hyperlink ref="F27" location="Function1!A1" display="Function1!A1" xr:uid="{00000000-0004-0000-0200-000010000000}"/>
    <hyperlink ref="F28" location="Function1!A1" display="Function1!A1" xr:uid="{00000000-0004-0000-0200-000011000000}"/>
    <hyperlink ref="F29" location="Function1!A1" display="Function1!A1" xr:uid="{00000000-0004-0000-0200-00001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W39"/>
  <sheetViews>
    <sheetView showGridLines="0" workbookViewId="0"/>
  </sheetViews>
  <sheetFormatPr defaultColWidth="10.140625" defaultRowHeight="12.75"/>
  <cols>
    <col min="1" max="1" width="17.42578125" style="21" customWidth="1"/>
    <col min="2" max="2" width="30.28515625" style="21" customWidth="1"/>
    <col min="3" max="3" width="13.85546875" style="21" customWidth="1"/>
    <col min="4" max="4" width="11" style="21" customWidth="1"/>
    <col min="5" max="5" width="11.140625" style="21" customWidth="1"/>
    <col min="6" max="8" width="5.85546875" style="21" customWidth="1"/>
    <col min="9" max="9" width="23.85546875" style="21" customWidth="1"/>
    <col min="10" max="10" width="37.5703125" style="21" customWidth="1"/>
    <col min="11" max="257" width="10.140625" style="21"/>
  </cols>
  <sheetData>
    <row r="2" spans="1:14" ht="25.5" customHeight="1">
      <c r="A2" s="350" t="s">
        <v>188</v>
      </c>
      <c r="B2" s="350"/>
      <c r="C2" s="350"/>
      <c r="D2" s="350"/>
      <c r="E2" s="350"/>
      <c r="F2" s="350"/>
      <c r="G2" s="350"/>
      <c r="H2" s="350"/>
      <c r="I2" s="350"/>
    </row>
    <row r="3" spans="1:14" ht="14.25" customHeight="1">
      <c r="A3" s="75"/>
      <c r="B3" s="76"/>
      <c r="C3" s="76"/>
      <c r="D3" s="76"/>
      <c r="E3" s="76"/>
      <c r="F3" s="76"/>
      <c r="G3" s="76"/>
      <c r="H3" s="76"/>
      <c r="I3" s="77"/>
    </row>
    <row r="4" spans="1:14" ht="13.5" customHeight="1">
      <c r="A4" s="78" t="s">
        <v>46</v>
      </c>
      <c r="B4" s="345" t="s">
        <v>47</v>
      </c>
      <c r="C4" s="345"/>
      <c r="D4" s="347" t="s">
        <v>48</v>
      </c>
      <c r="E4" s="347"/>
      <c r="F4" s="351" t="s">
        <v>189</v>
      </c>
      <c r="G4" s="351"/>
      <c r="H4" s="351"/>
      <c r="I4" s="351"/>
    </row>
    <row r="5" spans="1:14" ht="13.5" customHeight="1">
      <c r="A5" s="78" t="s">
        <v>50</v>
      </c>
      <c r="B5" s="345" t="s">
        <v>51</v>
      </c>
      <c r="C5" s="345"/>
      <c r="D5" s="347" t="s">
        <v>190</v>
      </c>
      <c r="E5" s="347"/>
      <c r="F5" s="351" t="s">
        <v>191</v>
      </c>
      <c r="G5" s="351"/>
      <c r="H5" s="351"/>
      <c r="I5" s="351"/>
    </row>
    <row r="6" spans="1:14" ht="12.75" customHeight="1">
      <c r="A6" s="24" t="s">
        <v>53</v>
      </c>
      <c r="B6" s="345" t="s">
        <v>192</v>
      </c>
      <c r="C6" s="345"/>
      <c r="D6" s="347" t="s">
        <v>52</v>
      </c>
      <c r="E6" s="347"/>
      <c r="F6" s="348">
        <v>46326</v>
      </c>
      <c r="G6" s="348"/>
      <c r="H6" s="348"/>
      <c r="I6" s="348"/>
    </row>
    <row r="7" spans="1:14" ht="15.75" customHeight="1">
      <c r="A7" s="24" t="s">
        <v>193</v>
      </c>
      <c r="B7" s="349" t="s">
        <v>1185</v>
      </c>
      <c r="C7" s="349"/>
      <c r="D7" s="349"/>
      <c r="E7" s="349"/>
      <c r="F7" s="349"/>
      <c r="G7" s="349"/>
      <c r="H7" s="349"/>
      <c r="I7" s="349"/>
    </row>
    <row r="8" spans="1:14" ht="14.25" customHeight="1">
      <c r="A8" s="79"/>
      <c r="B8" s="80"/>
      <c r="C8" s="76"/>
      <c r="D8" s="76"/>
      <c r="E8" s="76"/>
      <c r="F8" s="76"/>
      <c r="G8" s="76"/>
      <c r="H8" s="76"/>
      <c r="I8" s="77"/>
    </row>
    <row r="9" spans="1:14">
      <c r="A9" s="79"/>
      <c r="B9" s="80"/>
      <c r="C9" s="76"/>
      <c r="D9" s="76"/>
      <c r="E9" s="76"/>
      <c r="F9" s="76"/>
      <c r="G9" s="76"/>
      <c r="H9" s="76"/>
      <c r="I9" s="77"/>
    </row>
    <row r="11" spans="1:14" ht="14.25" customHeight="1">
      <c r="A11" s="81" t="s">
        <v>69</v>
      </c>
      <c r="B11" s="82" t="s">
        <v>194</v>
      </c>
      <c r="C11" s="83" t="s">
        <v>195</v>
      </c>
      <c r="D11" s="82" t="s">
        <v>196</v>
      </c>
      <c r="E11" s="84" t="s">
        <v>197</v>
      </c>
      <c r="F11" s="84" t="s">
        <v>198</v>
      </c>
      <c r="G11" s="84" t="s">
        <v>199</v>
      </c>
      <c r="H11" s="84" t="s">
        <v>200</v>
      </c>
      <c r="I11" s="85" t="s">
        <v>201</v>
      </c>
      <c r="K11" s="86" t="s">
        <v>202</v>
      </c>
      <c r="L11" s="86" t="s">
        <v>203</v>
      </c>
      <c r="M11" s="86" t="s">
        <v>204</v>
      </c>
      <c r="N11" s="86" t="s">
        <v>203</v>
      </c>
    </row>
    <row r="12" spans="1:14">
      <c r="A12" s="87">
        <v>1</v>
      </c>
      <c r="B12" s="88" t="str">
        <f>Functions!E11</f>
        <v>UT-001</v>
      </c>
      <c r="C12" s="89">
        <f>'UT-01'!A7</f>
        <v>0</v>
      </c>
      <c r="D12" s="89">
        <f>'UT-01'!C7</f>
        <v>0</v>
      </c>
      <c r="E12" s="89">
        <f>'UT-01'!F7</f>
        <v>8</v>
      </c>
      <c r="F12" s="90">
        <f>'UT-01'!L7</f>
        <v>2</v>
      </c>
      <c r="G12" s="89">
        <f>'UT-01'!M7</f>
        <v>5</v>
      </c>
      <c r="H12" s="89">
        <f>'UT-01'!N7</f>
        <v>1</v>
      </c>
      <c r="I12" s="89">
        <f>'UT-01'!O7</f>
        <v>8</v>
      </c>
      <c r="K12" s="21" t="s">
        <v>198</v>
      </c>
      <c r="L12" s="21">
        <f>F33</f>
        <v>41</v>
      </c>
      <c r="M12" s="21" t="s">
        <v>195</v>
      </c>
      <c r="N12" s="21">
        <f>C33</f>
        <v>0</v>
      </c>
    </row>
    <row r="13" spans="1:14">
      <c r="A13" s="91">
        <v>2</v>
      </c>
      <c r="B13" s="88" t="str">
        <f>Functions!E12</f>
        <v>UT-002</v>
      </c>
      <c r="C13" s="92">
        <f>'UT-02'!A7</f>
        <v>0</v>
      </c>
      <c r="D13" s="92">
        <f>'UT-02'!C7</f>
        <v>0</v>
      </c>
      <c r="E13" s="92">
        <f>'UT-02'!F7</f>
        <v>7</v>
      </c>
      <c r="F13" s="93">
        <f>'UT-02'!L7</f>
        <v>3</v>
      </c>
      <c r="G13" s="92">
        <f>'UT-02'!M7</f>
        <v>2</v>
      </c>
      <c r="H13" s="92">
        <f>'UT-02'!N7</f>
        <v>2</v>
      </c>
      <c r="I13" s="92">
        <f>'UT-02'!O7</f>
        <v>7</v>
      </c>
      <c r="K13" s="21" t="s">
        <v>199</v>
      </c>
      <c r="L13" s="21">
        <f>G33</f>
        <v>39</v>
      </c>
      <c r="M13" s="21" t="s">
        <v>196</v>
      </c>
      <c r="N13" s="21">
        <f>D33</f>
        <v>0</v>
      </c>
    </row>
    <row r="14" spans="1:14">
      <c r="A14" s="91">
        <v>3</v>
      </c>
      <c r="B14" s="88" t="str">
        <f>Functions!E13</f>
        <v>UT-003</v>
      </c>
      <c r="C14" s="92">
        <f>'UT-03'!A7</f>
        <v>0</v>
      </c>
      <c r="D14" s="92">
        <f>'UT-03'!C7</f>
        <v>0</v>
      </c>
      <c r="E14" s="92">
        <f>'UT-03'!F7</f>
        <v>7</v>
      </c>
      <c r="F14" s="93">
        <f>'UT-03'!L7</f>
        <v>3</v>
      </c>
      <c r="G14" s="92">
        <f>'UT-03'!M7</f>
        <v>3</v>
      </c>
      <c r="H14" s="92">
        <f>'UT-03'!N7</f>
        <v>1</v>
      </c>
      <c r="I14" s="92">
        <f>'UT-03'!O7</f>
        <v>7</v>
      </c>
      <c r="K14" s="21" t="s">
        <v>200</v>
      </c>
      <c r="L14" s="21">
        <f>H33</f>
        <v>24</v>
      </c>
      <c r="M14" s="21" t="s">
        <v>197</v>
      </c>
      <c r="N14" s="21">
        <f>E33</f>
        <v>104</v>
      </c>
    </row>
    <row r="15" spans="1:14">
      <c r="A15" s="91">
        <v>4</v>
      </c>
      <c r="B15" s="88" t="str">
        <f>Functions!E14</f>
        <v>UT-004</v>
      </c>
      <c r="C15" s="92">
        <f>'UT-04'!A7</f>
        <v>0</v>
      </c>
      <c r="D15" s="92">
        <f>'UT-04'!C7</f>
        <v>0</v>
      </c>
      <c r="E15" s="92">
        <f>'UT-04'!F7</f>
        <v>7</v>
      </c>
      <c r="F15" s="93">
        <f>'UT-04'!L7</f>
        <v>2</v>
      </c>
      <c r="G15" s="92">
        <f>'UT-04'!M7</f>
        <v>4</v>
      </c>
      <c r="H15" s="92">
        <f>'UT-04'!N7</f>
        <v>1</v>
      </c>
      <c r="I15" s="92">
        <f>'UT-04'!O7</f>
        <v>7</v>
      </c>
    </row>
    <row r="16" spans="1:14">
      <c r="A16" s="91">
        <v>5</v>
      </c>
      <c r="B16" s="88" t="str">
        <f>Functions!E15</f>
        <v>UT-005</v>
      </c>
      <c r="C16" s="92">
        <f>'UT-05'!A7</f>
        <v>0</v>
      </c>
      <c r="D16" s="92">
        <f>'UT-05'!C7</f>
        <v>0</v>
      </c>
      <c r="E16" s="92">
        <f>'UT-05'!F7</f>
        <v>8</v>
      </c>
      <c r="F16" s="93">
        <f>'UT-05'!L7</f>
        <v>2</v>
      </c>
      <c r="G16" s="92">
        <f>'UT-05'!M7</f>
        <v>3</v>
      </c>
      <c r="H16" s="92">
        <f>'UT-05'!N7</f>
        <v>3</v>
      </c>
      <c r="I16" s="92">
        <f>'UT-05'!O7</f>
        <v>8</v>
      </c>
    </row>
    <row r="17" spans="1:13">
      <c r="A17" s="91">
        <v>6</v>
      </c>
      <c r="B17" s="88" t="str">
        <f>Functions!E16</f>
        <v>UT-006</v>
      </c>
      <c r="C17" s="92">
        <f>'UT-06'!A7</f>
        <v>0</v>
      </c>
      <c r="D17" s="92">
        <f>'UT-06'!C7</f>
        <v>0</v>
      </c>
      <c r="E17" s="92">
        <f>'UT-06'!F7</f>
        <v>6</v>
      </c>
      <c r="F17" s="93">
        <f>'UT-06'!L7</f>
        <v>3</v>
      </c>
      <c r="G17" s="92">
        <f>'UT-06'!M7</f>
        <v>1</v>
      </c>
      <c r="H17" s="92">
        <f>'UT-06'!N7</f>
        <v>2</v>
      </c>
      <c r="I17" s="92">
        <f>'UT-06'!O7</f>
        <v>6</v>
      </c>
      <c r="K17" s="86" t="s">
        <v>1186</v>
      </c>
      <c r="L17" s="86" t="s">
        <v>195</v>
      </c>
      <c r="M17" s="86" t="s">
        <v>1187</v>
      </c>
    </row>
    <row r="18" spans="1:13">
      <c r="A18" s="91">
        <v>7</v>
      </c>
      <c r="B18" s="88" t="str">
        <f>Functions!E17</f>
        <v>UT-007</v>
      </c>
      <c r="C18" s="92">
        <f>'UT-07'!A7</f>
        <v>0</v>
      </c>
      <c r="D18" s="92">
        <f>'UT-07'!C7</f>
        <v>0</v>
      </c>
      <c r="E18" s="92">
        <f>'UT-07'!F7</f>
        <v>6</v>
      </c>
      <c r="F18" s="93">
        <f>'UT-07'!L7</f>
        <v>2</v>
      </c>
      <c r="G18" s="92">
        <f>'UT-07'!M7</f>
        <v>3</v>
      </c>
      <c r="H18" s="92">
        <f>'UT-07'!N7</f>
        <v>1</v>
      </c>
      <c r="I18" s="92">
        <f>'UT-07'!O7</f>
        <v>6</v>
      </c>
      <c r="K18" s="76" t="s">
        <v>873</v>
      </c>
      <c r="L18" s="76">
        <v>168</v>
      </c>
      <c r="M18" s="76">
        <v>0</v>
      </c>
    </row>
    <row r="19" spans="1:13">
      <c r="A19" s="91">
        <v>8</v>
      </c>
      <c r="B19" s="88" t="str">
        <f>Functions!E18</f>
        <v>UT-008</v>
      </c>
      <c r="C19" s="92">
        <f>'UT-08'!A7</f>
        <v>0</v>
      </c>
      <c r="D19" s="92">
        <f>'UT-08'!C7</f>
        <v>0</v>
      </c>
      <c r="E19" s="92">
        <f>'UT-08'!F7</f>
        <v>7</v>
      </c>
      <c r="F19" s="93">
        <f>'UT-08'!L7</f>
        <v>4</v>
      </c>
      <c r="G19" s="92">
        <f>'UT-08'!M7</f>
        <v>2</v>
      </c>
      <c r="H19" s="92">
        <f>'UT-08'!N7</f>
        <v>1</v>
      </c>
      <c r="I19" s="92">
        <f>'UT-08'!O7</f>
        <v>7</v>
      </c>
      <c r="K19" s="76" t="s">
        <v>588</v>
      </c>
      <c r="L19" s="76">
        <v>136</v>
      </c>
      <c r="M19" s="76">
        <v>7</v>
      </c>
    </row>
    <row r="20" spans="1:13">
      <c r="A20" s="91">
        <v>9</v>
      </c>
      <c r="B20" s="88" t="str">
        <f>Functions!E19</f>
        <v>UT-009</v>
      </c>
      <c r="C20" s="92">
        <f>'UT-09'!A7</f>
        <v>0</v>
      </c>
      <c r="D20" s="92">
        <f>'UT-09'!C7</f>
        <v>0</v>
      </c>
      <c r="E20" s="92">
        <f>'UT-09'!F7</f>
        <v>7</v>
      </c>
      <c r="F20" s="93">
        <f>'UT-09'!L7</f>
        <v>1</v>
      </c>
      <c r="G20" s="92">
        <f>'UT-09'!M7</f>
        <v>5</v>
      </c>
      <c r="H20" s="92">
        <f>'UT-09'!N7</f>
        <v>1</v>
      </c>
      <c r="I20" s="92">
        <f>'UT-09'!O7</f>
        <v>7</v>
      </c>
      <c r="K20" s="76" t="s">
        <v>701</v>
      </c>
      <c r="L20" s="76">
        <v>7</v>
      </c>
      <c r="M20" s="76">
        <v>0</v>
      </c>
    </row>
    <row r="21" spans="1:13">
      <c r="A21" s="91">
        <v>10</v>
      </c>
      <c r="B21" s="88" t="str">
        <f>Functions!E20</f>
        <v>UT-010</v>
      </c>
      <c r="C21" s="92">
        <f>'UT-10'!A7</f>
        <v>0</v>
      </c>
      <c r="D21" s="92">
        <f>'UT-10'!C7</f>
        <v>0</v>
      </c>
      <c r="E21" s="92">
        <f>'UT-10'!F7</f>
        <v>8</v>
      </c>
      <c r="F21" s="93">
        <f>'UT-10'!L7</f>
        <v>5</v>
      </c>
      <c r="G21" s="92">
        <f>'UT-10'!M7</f>
        <v>1</v>
      </c>
      <c r="H21" s="92">
        <f>'UT-10'!N7</f>
        <v>2</v>
      </c>
      <c r="I21" s="92">
        <f>'UT-10'!O7</f>
        <v>8</v>
      </c>
      <c r="K21" s="76" t="s">
        <v>870</v>
      </c>
      <c r="L21" s="76">
        <v>5</v>
      </c>
      <c r="M21" s="76">
        <v>0</v>
      </c>
    </row>
    <row r="22" spans="1:13">
      <c r="A22" s="91">
        <v>11</v>
      </c>
      <c r="B22" s="88" t="str">
        <f>Functions!E21</f>
        <v>UT-011</v>
      </c>
      <c r="C22" s="92">
        <f>'UT-11'!A7</f>
        <v>0</v>
      </c>
      <c r="D22" s="92">
        <f>'UT-11'!C7</f>
        <v>0</v>
      </c>
      <c r="E22" s="92">
        <f>'UT-11'!F7</f>
        <v>5</v>
      </c>
      <c r="F22" s="93">
        <f>'UT-11'!L7</f>
        <v>2</v>
      </c>
      <c r="G22" s="92">
        <f>'UT-11'!M7</f>
        <v>1</v>
      </c>
      <c r="H22" s="92">
        <f>'UT-11'!N7</f>
        <v>2</v>
      </c>
      <c r="I22" s="92">
        <f>'UT-11'!O7</f>
        <v>5</v>
      </c>
      <c r="K22" s="76" t="s">
        <v>1188</v>
      </c>
      <c r="L22" s="76">
        <v>16</v>
      </c>
      <c r="M22" s="76">
        <v>0</v>
      </c>
    </row>
    <row r="23" spans="1:13">
      <c r="A23" s="91">
        <v>12</v>
      </c>
      <c r="B23" s="88" t="str">
        <f>Functions!E22</f>
        <v>UT-012</v>
      </c>
      <c r="C23" s="92">
        <f>'UT-12'!A7</f>
        <v>0</v>
      </c>
      <c r="D23" s="92">
        <f>'UT-12'!C7</f>
        <v>0</v>
      </c>
      <c r="E23" s="92">
        <f>'UT-12'!F7</f>
        <v>3</v>
      </c>
      <c r="F23" s="93">
        <f>'UT-12'!L7</f>
        <v>1</v>
      </c>
      <c r="G23" s="92">
        <f>'UT-12'!M7</f>
        <v>1</v>
      </c>
      <c r="H23" s="92">
        <f>'UT-12'!N7</f>
        <v>1</v>
      </c>
      <c r="I23" s="92">
        <f>'UT-12'!O7</f>
        <v>3</v>
      </c>
      <c r="K23" s="76" t="s">
        <v>1189</v>
      </c>
      <c r="L23" s="76">
        <v>48</v>
      </c>
      <c r="M23" s="76">
        <v>0</v>
      </c>
    </row>
    <row r="24" spans="1:13">
      <c r="A24" s="91">
        <v>13</v>
      </c>
      <c r="B24" s="88" t="str">
        <f>Functions!E23</f>
        <v>UT-013</v>
      </c>
      <c r="C24" s="92">
        <f>'UT-13'!A7</f>
        <v>0</v>
      </c>
      <c r="D24" s="92">
        <f>'UT-13'!C7</f>
        <v>0</v>
      </c>
      <c r="E24" s="92">
        <f>'UT-13'!F7</f>
        <v>2</v>
      </c>
      <c r="F24" s="93">
        <f>'UT-13'!L7</f>
        <v>1</v>
      </c>
      <c r="G24" s="92">
        <f>'UT-13'!M7</f>
        <v>0</v>
      </c>
      <c r="H24" s="92">
        <f>'UT-13'!N7</f>
        <v>1</v>
      </c>
      <c r="I24" s="92">
        <f>'UT-13'!O7</f>
        <v>2</v>
      </c>
      <c r="K24" s="76" t="s">
        <v>1190</v>
      </c>
      <c r="L24" s="76">
        <v>380</v>
      </c>
      <c r="M24" s="76">
        <v>7</v>
      </c>
    </row>
    <row r="25" spans="1:13">
      <c r="A25" s="91">
        <v>14</v>
      </c>
      <c r="B25" s="88" t="str">
        <f>Functions!E24</f>
        <v>UT-014</v>
      </c>
      <c r="C25" s="92">
        <f>'UT-14'!A7</f>
        <v>0</v>
      </c>
      <c r="D25" s="92">
        <f>'UT-14'!C7</f>
        <v>0</v>
      </c>
      <c r="E25" s="92">
        <f>'UT-14'!F7</f>
        <v>6</v>
      </c>
      <c r="F25" s="93">
        <f>'UT-14'!L7</f>
        <v>3</v>
      </c>
      <c r="G25" s="92">
        <f>'UT-14'!M7</f>
        <v>2</v>
      </c>
      <c r="H25" s="92">
        <f>'UT-14'!N7</f>
        <v>1</v>
      </c>
      <c r="I25" s="92">
        <f>'UT-14'!O7</f>
        <v>6</v>
      </c>
    </row>
    <row r="26" spans="1:13">
      <c r="A26" s="91">
        <v>15</v>
      </c>
      <c r="B26" s="88" t="str">
        <f>Functions!E25</f>
        <v>UT-015</v>
      </c>
      <c r="C26" s="92">
        <f>'UT-15'!A7</f>
        <v>0</v>
      </c>
      <c r="D26" s="92">
        <f>'UT-15'!C7</f>
        <v>0</v>
      </c>
      <c r="E26" s="92">
        <f>'UT-15'!F7</f>
        <v>3</v>
      </c>
      <c r="F26" s="93">
        <f>'UT-15'!L7</f>
        <v>1</v>
      </c>
      <c r="G26" s="92">
        <f>'UT-15'!M7</f>
        <v>1</v>
      </c>
      <c r="H26" s="92">
        <f>'UT-15'!N7</f>
        <v>1</v>
      </c>
      <c r="I26" s="92">
        <f>'UT-15'!O7</f>
        <v>3</v>
      </c>
    </row>
    <row r="27" spans="1:13">
      <c r="A27" s="91">
        <v>16</v>
      </c>
      <c r="B27" s="88" t="str">
        <f>Functions!E26</f>
        <v>UT-016</v>
      </c>
      <c r="C27" s="92">
        <f>'UT-16'!A7</f>
        <v>0</v>
      </c>
      <c r="D27" s="92">
        <f>'UT-16'!C7</f>
        <v>0</v>
      </c>
      <c r="E27" s="92">
        <f>'UT-16'!F7</f>
        <v>3</v>
      </c>
      <c r="F27" s="93">
        <f>'UT-16'!L7</f>
        <v>1</v>
      </c>
      <c r="G27" s="92">
        <f>'UT-16'!M7</f>
        <v>1</v>
      </c>
      <c r="H27" s="92">
        <f>'UT-16'!N7</f>
        <v>1</v>
      </c>
      <c r="I27" s="92">
        <f>'UT-16'!O7</f>
        <v>3</v>
      </c>
    </row>
    <row r="28" spans="1:13">
      <c r="A28" s="91">
        <v>17</v>
      </c>
      <c r="B28" s="88" t="str">
        <f>Functions!E27</f>
        <v>UT-017</v>
      </c>
      <c r="C28" s="92">
        <f>'UT-17'!A7</f>
        <v>0</v>
      </c>
      <c r="D28" s="92">
        <f>'UT-17'!C7</f>
        <v>0</v>
      </c>
      <c r="E28" s="92">
        <f>'UT-17'!F7</f>
        <v>6</v>
      </c>
      <c r="F28" s="93">
        <f>'UT-17'!L7</f>
        <v>2</v>
      </c>
      <c r="G28" s="92">
        <f>'UT-17'!M7</f>
        <v>3</v>
      </c>
      <c r="H28" s="92">
        <f>'UT-17'!N7</f>
        <v>1</v>
      </c>
      <c r="I28" s="92">
        <f>'UT-17'!O7</f>
        <v>6</v>
      </c>
    </row>
    <row r="29" spans="1:13">
      <c r="A29" s="91">
        <v>18</v>
      </c>
      <c r="B29" s="88" t="str">
        <f>Functions!E28</f>
        <v>UT-018</v>
      </c>
      <c r="C29" s="92">
        <f>'UT-18'!A7</f>
        <v>0</v>
      </c>
      <c r="D29" s="92">
        <f>'UT-18'!C7</f>
        <v>0</v>
      </c>
      <c r="E29" s="92">
        <f>'UT-18'!F7</f>
        <v>2</v>
      </c>
      <c r="F29" s="93">
        <f>'UT-18'!L7</f>
        <v>1</v>
      </c>
      <c r="G29" s="92">
        <f>'UT-18'!M7</f>
        <v>0</v>
      </c>
      <c r="H29" s="92">
        <f>'UT-18'!N7</f>
        <v>1</v>
      </c>
      <c r="I29" s="92">
        <f>'UT-18'!O7</f>
        <v>2</v>
      </c>
    </row>
    <row r="30" spans="1:13">
      <c r="A30" s="91">
        <v>19</v>
      </c>
      <c r="B30" s="88" t="str">
        <f>Functions!E29</f>
        <v>UT-019</v>
      </c>
      <c r="C30" s="92">
        <f>'UT-19'!A7</f>
        <v>0</v>
      </c>
      <c r="D30" s="92">
        <f>'UT-19'!C7</f>
        <v>0</v>
      </c>
      <c r="E30" s="92">
        <f>'UT-19'!F7</f>
        <v>3</v>
      </c>
      <c r="F30" s="93">
        <f>'UT-19'!L7</f>
        <v>2</v>
      </c>
      <c r="G30" s="92">
        <f>'UT-19'!M7</f>
        <v>1</v>
      </c>
      <c r="H30" s="92">
        <f>'UT-19'!N7</f>
        <v>0</v>
      </c>
      <c r="I30" s="92">
        <f>'UT-19'!O7</f>
        <v>3</v>
      </c>
    </row>
    <row r="33" spans="1:9">
      <c r="A33" s="91"/>
      <c r="B33" s="88" t="s">
        <v>205</v>
      </c>
      <c r="C33" s="92">
        <f t="shared" ref="C33:I33" si="0">SUM(C12:C30)</f>
        <v>0</v>
      </c>
      <c r="D33" s="92">
        <f t="shared" si="0"/>
        <v>0</v>
      </c>
      <c r="E33" s="92">
        <f t="shared" si="0"/>
        <v>104</v>
      </c>
      <c r="F33" s="93">
        <f t="shared" si="0"/>
        <v>41</v>
      </c>
      <c r="G33" s="92">
        <f t="shared" si="0"/>
        <v>39</v>
      </c>
      <c r="H33" s="92">
        <f t="shared" si="0"/>
        <v>24</v>
      </c>
      <c r="I33" s="92">
        <f t="shared" si="0"/>
        <v>104</v>
      </c>
    </row>
    <row r="34" spans="1:9">
      <c r="A34" s="76"/>
      <c r="B34" s="94"/>
      <c r="C34" s="76"/>
      <c r="D34" s="95"/>
      <c r="E34" s="76"/>
      <c r="F34" s="76"/>
      <c r="G34" s="76"/>
      <c r="H34" s="76"/>
      <c r="I34" s="96"/>
    </row>
    <row r="35" spans="1:9">
      <c r="A35" s="76"/>
      <c r="B35" s="94" t="s">
        <v>206</v>
      </c>
      <c r="C35" s="76"/>
      <c r="D35" s="97">
        <f>IFERROR((C33+D33)*100/I33,0)</f>
        <v>0</v>
      </c>
      <c r="E35" s="76" t="s">
        <v>207</v>
      </c>
      <c r="F35" s="76"/>
      <c r="G35" s="76"/>
      <c r="H35" s="76"/>
      <c r="I35" s="96"/>
    </row>
    <row r="36" spans="1:9">
      <c r="A36" s="76"/>
      <c r="B36" s="94" t="s">
        <v>208</v>
      </c>
      <c r="C36" s="76"/>
      <c r="D36" s="97">
        <f>IFERROR((C33)*100/I33,0)</f>
        <v>0</v>
      </c>
      <c r="E36" s="76" t="s">
        <v>207</v>
      </c>
      <c r="F36" s="76"/>
      <c r="G36" s="76"/>
      <c r="H36" s="76"/>
      <c r="I36" s="96"/>
    </row>
    <row r="37" spans="1:9">
      <c r="A37" s="76"/>
      <c r="B37" s="94" t="s">
        <v>209</v>
      </c>
      <c r="C37" s="76"/>
      <c r="D37" s="97">
        <f>IFERROR((F33)*100/I33,0)</f>
        <v>39.42307692307692</v>
      </c>
      <c r="E37" s="76" t="s">
        <v>207</v>
      </c>
      <c r="F37" s="76"/>
      <c r="G37" s="76"/>
      <c r="H37" s="76"/>
      <c r="I37" s="96"/>
    </row>
    <row r="38" spans="1:9">
      <c r="A38" s="76"/>
      <c r="B38" s="94" t="s">
        <v>210</v>
      </c>
      <c r="C38" s="76"/>
      <c r="D38" s="97">
        <f>IFERROR((G33)*100/I33,0)</f>
        <v>37.5</v>
      </c>
      <c r="E38" s="76" t="s">
        <v>207</v>
      </c>
      <c r="F38" s="76"/>
      <c r="G38" s="76"/>
      <c r="H38" s="76"/>
      <c r="I38" s="96"/>
    </row>
    <row r="39" spans="1:9">
      <c r="A39" s="76"/>
      <c r="B39" s="94" t="s">
        <v>211</v>
      </c>
      <c r="C39" s="76"/>
      <c r="D39" s="97">
        <f>IFERROR((H33)*100/I33,0)</f>
        <v>23.076923076923077</v>
      </c>
      <c r="E39" s="76" t="s">
        <v>207</v>
      </c>
      <c r="F39" s="76"/>
      <c r="G39" s="76"/>
      <c r="H39" s="76"/>
      <c r="I39" s="96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ref="B12" location="Function1!A1" display="Function1!A1" xr:uid="{00000000-0004-0000-0300-000000000000}"/>
    <hyperlink ref="B13" location="Function1!A1" display="Function1!A1" xr:uid="{00000000-0004-0000-0300-000001000000}"/>
    <hyperlink ref="B14" location="Function1!A1" display="Function1!A1" xr:uid="{00000000-0004-0000-0300-000002000000}"/>
    <hyperlink ref="B15" location="Function1!A1" display="Function1!A1" xr:uid="{00000000-0004-0000-0300-000003000000}"/>
    <hyperlink ref="B16" location="Function1!A1" display="Function1!A1" xr:uid="{00000000-0004-0000-0300-000004000000}"/>
    <hyperlink ref="B17" location="Function1!A1" display="Function1!A1" xr:uid="{00000000-0004-0000-0300-000005000000}"/>
    <hyperlink ref="B18" location="Function1!A1" display="Function1!A1" xr:uid="{00000000-0004-0000-0300-000006000000}"/>
    <hyperlink ref="B19" location="Function1!A1" display="Function1!A1" xr:uid="{00000000-0004-0000-0300-000007000000}"/>
    <hyperlink ref="B20" location="Function1!A1" display="Function1!A1" xr:uid="{00000000-0004-0000-0300-000008000000}"/>
    <hyperlink ref="B21" location="Function1!A1" display="Function1!A1" xr:uid="{00000000-0004-0000-0300-000009000000}"/>
    <hyperlink ref="B22" location="Function1!A1" display="Function1!A1" xr:uid="{00000000-0004-0000-0300-00000A000000}"/>
    <hyperlink ref="B23" location="Function1!A1" display="Function1!A1" xr:uid="{00000000-0004-0000-0300-00000B000000}"/>
    <hyperlink ref="B24" location="Function1!A1" display="Function1!A1" xr:uid="{00000000-0004-0000-0300-00000C000000}"/>
    <hyperlink ref="B25" location="Function1!A1" display="Function1!A1" xr:uid="{00000000-0004-0000-0300-00000D000000}"/>
    <hyperlink ref="B26" location="Function1!A1" display="Function1!A1" xr:uid="{00000000-0004-0000-0300-00000E000000}"/>
    <hyperlink ref="B27" location="Function1!A1" display="Function1!A1" xr:uid="{00000000-0004-0000-0300-00000F000000}"/>
    <hyperlink ref="B28" location="Function1!A1" display="Function1!A1" xr:uid="{00000000-0004-0000-0300-000010000000}"/>
    <hyperlink ref="B29" location="Function1!A1" display="Function1!A1" xr:uid="{00000000-0004-0000-0300-000011000000}"/>
    <hyperlink ref="B30" location="Function1!A1" display="Function1!A1" xr:uid="{00000000-0004-0000-0300-000012000000}"/>
    <hyperlink ref="B33" location="Function1!A1" display="Sub total" xr:uid="{00000000-0004-0000-0300-000013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49"/>
  <sheetViews>
    <sheetView showGridLines="0" workbookViewId="0"/>
  </sheetViews>
  <sheetFormatPr defaultColWidth="10.140625" defaultRowHeight="12.75"/>
  <cols>
    <col min="1" max="1" width="9.28515625" style="98" customWidth="1"/>
    <col min="2" max="2" width="15.140625" style="99" customWidth="1"/>
    <col min="3" max="3" width="12.28515625" style="98" customWidth="1"/>
    <col min="4" max="4" width="12.85546875" style="100" customWidth="1"/>
    <col min="5" max="5" width="2.140625" style="98" hidden="1" customWidth="1"/>
    <col min="6" max="21" width="3.28515625" style="98" customWidth="1"/>
    <col min="22" max="257" width="10.140625" style="98"/>
  </cols>
  <sheetData>
    <row r="1" spans="1:22" ht="13.5" customHeight="1">
      <c r="A1" s="101"/>
      <c r="B1" s="102"/>
    </row>
    <row r="2" spans="1:22" ht="13.5" customHeight="1">
      <c r="A2" s="369" t="s">
        <v>212</v>
      </c>
      <c r="B2" s="369"/>
      <c r="C2" s="370" t="s">
        <v>304</v>
      </c>
      <c r="D2" s="370"/>
      <c r="E2" s="370"/>
      <c r="F2" s="371" t="s">
        <v>72</v>
      </c>
      <c r="G2" s="371"/>
      <c r="H2" s="371"/>
      <c r="I2" s="371"/>
      <c r="J2" s="371"/>
      <c r="K2" s="371"/>
      <c r="L2" s="372" t="s">
        <v>305</v>
      </c>
      <c r="M2" s="372"/>
      <c r="N2" s="372"/>
      <c r="O2" s="372"/>
      <c r="P2" s="372"/>
      <c r="Q2" s="372"/>
      <c r="R2" s="372"/>
      <c r="S2" s="372"/>
      <c r="T2" s="372"/>
      <c r="V2" s="103"/>
    </row>
    <row r="3" spans="1:22" ht="13.5" customHeight="1">
      <c r="A3" s="364" t="s">
        <v>213</v>
      </c>
      <c r="B3" s="364"/>
      <c r="C3" s="373" t="s">
        <v>191</v>
      </c>
      <c r="D3" s="373"/>
      <c r="E3" s="373"/>
      <c r="F3" s="366" t="s">
        <v>214</v>
      </c>
      <c r="G3" s="366"/>
      <c r="H3" s="366"/>
      <c r="I3" s="366"/>
      <c r="J3" s="366"/>
      <c r="K3" s="366"/>
      <c r="L3" s="374"/>
      <c r="M3" s="374"/>
      <c r="N3" s="374"/>
      <c r="O3" s="104"/>
      <c r="P3" s="104"/>
      <c r="Q3" s="104"/>
      <c r="R3" s="104"/>
      <c r="S3" s="104"/>
      <c r="T3" s="105"/>
    </row>
    <row r="4" spans="1:22" ht="13.5" customHeight="1">
      <c r="A4" s="364" t="s">
        <v>215</v>
      </c>
      <c r="B4" s="364"/>
      <c r="C4" s="365"/>
      <c r="D4" s="365"/>
      <c r="E4" s="106"/>
      <c r="F4" s="366" t="s">
        <v>216</v>
      </c>
      <c r="G4" s="366"/>
      <c r="H4" s="366"/>
      <c r="I4" s="366"/>
      <c r="J4" s="366"/>
      <c r="K4" s="366"/>
      <c r="L4" s="367" t="str">
        <f>IF(Functions!E6&lt;&gt;"N/A",SUM(C4*Functions!E6/1000,-O7),"N/A")</f>
        <v>N/A</v>
      </c>
      <c r="M4" s="367"/>
      <c r="N4" s="367"/>
      <c r="O4" s="367"/>
      <c r="P4" s="367"/>
      <c r="Q4" s="367"/>
      <c r="R4" s="367"/>
      <c r="S4" s="367"/>
      <c r="T4" s="367"/>
      <c r="V4" s="103"/>
    </row>
    <row r="5" spans="1:22" ht="13.5" customHeight="1">
      <c r="A5" s="364" t="s">
        <v>217</v>
      </c>
      <c r="B5" s="364"/>
      <c r="C5" s="368" t="s">
        <v>306</v>
      </c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68"/>
      <c r="R5" s="368"/>
      <c r="S5" s="368"/>
      <c r="T5" s="368"/>
    </row>
    <row r="6" spans="1:22" ht="13.5" customHeight="1">
      <c r="A6" s="360" t="s">
        <v>195</v>
      </c>
      <c r="B6" s="360"/>
      <c r="C6" s="361" t="s">
        <v>196</v>
      </c>
      <c r="D6" s="361"/>
      <c r="E6" s="361"/>
      <c r="F6" s="361" t="s">
        <v>197</v>
      </c>
      <c r="G6" s="361"/>
      <c r="H6" s="361"/>
      <c r="I6" s="361"/>
      <c r="J6" s="361"/>
      <c r="K6" s="361"/>
      <c r="L6" s="362" t="s">
        <v>219</v>
      </c>
      <c r="M6" s="362"/>
      <c r="N6" s="362"/>
      <c r="O6" s="363" t="s">
        <v>201</v>
      </c>
      <c r="P6" s="363"/>
      <c r="Q6" s="363"/>
      <c r="R6" s="363"/>
      <c r="S6" s="363"/>
      <c r="T6" s="363"/>
      <c r="V6" s="103"/>
    </row>
    <row r="7" spans="1:22" ht="13.5" customHeight="1">
      <c r="A7" s="356">
        <f>COUNTIF(F47:HQ47,"P")</f>
        <v>0</v>
      </c>
      <c r="B7" s="356"/>
      <c r="C7" s="357">
        <f>COUNTIF(F47:HQ47,"F")</f>
        <v>0</v>
      </c>
      <c r="D7" s="357"/>
      <c r="E7" s="357"/>
      <c r="F7" s="357">
        <f>SUM(O7,-A7,-C7)</f>
        <v>0</v>
      </c>
      <c r="G7" s="357"/>
      <c r="H7" s="357"/>
      <c r="I7" s="357"/>
      <c r="J7" s="357"/>
      <c r="K7" s="357"/>
      <c r="L7" s="107">
        <f>COUNTIF(E46:HQ46,"N")</f>
        <v>0</v>
      </c>
      <c r="M7" s="107">
        <f>COUNTIF(E46:HQ46,"A")</f>
        <v>0</v>
      </c>
      <c r="N7" s="107">
        <f>COUNTIF(E46:HQ46,"B")</f>
        <v>0</v>
      </c>
      <c r="O7" s="358">
        <f>COUNTA(E9:HT9)</f>
        <v>0</v>
      </c>
      <c r="P7" s="358"/>
      <c r="Q7" s="358"/>
      <c r="R7" s="358"/>
      <c r="S7" s="358"/>
      <c r="T7" s="358"/>
      <c r="U7" s="108"/>
    </row>
    <row r="8" spans="1:22" ht="12" customHeight="1"/>
    <row r="9" spans="1:22" ht="45" customHeight="1">
      <c r="A9" s="173"/>
      <c r="B9" s="260"/>
      <c r="C9" s="261"/>
      <c r="D9" s="262"/>
      <c r="E9" s="261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4"/>
      <c r="U9" s="115"/>
      <c r="V9" s="103"/>
    </row>
    <row r="10" spans="1:22" ht="13.5" customHeight="1">
      <c r="A10" s="116" t="s">
        <v>228</v>
      </c>
      <c r="B10" s="124" t="s">
        <v>307</v>
      </c>
      <c r="C10" s="125"/>
      <c r="D10" s="126"/>
      <c r="E10" s="179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1"/>
    </row>
    <row r="11" spans="1:22" ht="13.5" customHeight="1">
      <c r="A11" s="123"/>
      <c r="B11" s="124"/>
      <c r="C11" s="125"/>
      <c r="D11" s="126"/>
      <c r="E11" s="12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1"/>
      <c r="V11" s="103"/>
    </row>
    <row r="12" spans="1:22" ht="13.5" customHeight="1">
      <c r="A12" s="123"/>
      <c r="B12" s="124"/>
      <c r="C12" s="125"/>
      <c r="D12" s="126"/>
      <c r="E12" s="12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1"/>
    </row>
    <row r="13" spans="1:22" ht="13.5" customHeight="1">
      <c r="A13" s="123"/>
      <c r="B13" s="124"/>
      <c r="C13" s="125"/>
      <c r="D13" s="126"/>
      <c r="E13" s="129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1"/>
    </row>
    <row r="14" spans="1:22" ht="13.5" customHeight="1">
      <c r="A14" s="123"/>
      <c r="B14" s="124" t="s">
        <v>308</v>
      </c>
      <c r="C14" s="125"/>
      <c r="D14" s="126"/>
      <c r="E14" s="13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</row>
    <row r="15" spans="1:22" ht="13.5" customHeight="1">
      <c r="A15" s="123"/>
      <c r="B15" s="124"/>
      <c r="C15" s="125"/>
      <c r="D15" s="126"/>
      <c r="E15" s="13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1"/>
    </row>
    <row r="16" spans="1:22" ht="13.5" customHeight="1">
      <c r="A16" s="123"/>
      <c r="B16" s="124"/>
      <c r="C16" s="125"/>
      <c r="D16" s="126"/>
      <c r="E16" s="13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1"/>
    </row>
    <row r="17" spans="1:21" ht="13.5" customHeight="1">
      <c r="A17" s="123"/>
      <c r="B17" s="124"/>
      <c r="C17" s="125"/>
      <c r="D17" s="126"/>
      <c r="E17" s="13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182"/>
    </row>
    <row r="18" spans="1:21" ht="13.5" customHeight="1">
      <c r="A18" s="123"/>
      <c r="B18" s="124"/>
      <c r="C18" s="125"/>
      <c r="D18" s="126"/>
      <c r="E18" s="13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1"/>
      <c r="U18" s="182"/>
    </row>
    <row r="19" spans="1:21" ht="13.5" customHeight="1">
      <c r="A19" s="123"/>
      <c r="B19" s="124" t="s">
        <v>309</v>
      </c>
      <c r="C19" s="125"/>
      <c r="D19" s="126"/>
      <c r="E19" s="13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1"/>
      <c r="U19" s="182"/>
    </row>
    <row r="20" spans="1:21" ht="13.5" customHeight="1">
      <c r="A20" s="123"/>
      <c r="B20" s="124"/>
      <c r="C20" s="125"/>
      <c r="D20" s="359"/>
      <c r="E20" s="359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1"/>
    </row>
    <row r="21" spans="1:21" ht="13.5" customHeight="1">
      <c r="A21" s="123"/>
      <c r="B21" s="124"/>
      <c r="C21" s="125"/>
      <c r="D21" s="126"/>
      <c r="E21" s="13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1"/>
    </row>
    <row r="22" spans="1:21" ht="13.5" customHeight="1">
      <c r="A22" s="123"/>
      <c r="B22" s="124"/>
      <c r="C22" s="125"/>
      <c r="D22" s="126"/>
      <c r="E22" s="13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1"/>
    </row>
    <row r="23" spans="1:21" ht="13.5" customHeight="1">
      <c r="A23" s="123"/>
      <c r="B23" s="124" t="s">
        <v>310</v>
      </c>
      <c r="C23" s="125"/>
      <c r="D23" s="126"/>
      <c r="E23" s="13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1"/>
    </row>
    <row r="24" spans="1:21" ht="13.5" customHeight="1">
      <c r="A24" s="123"/>
      <c r="B24" s="124"/>
      <c r="C24" s="125"/>
      <c r="D24" s="126"/>
      <c r="E24" s="13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1"/>
    </row>
    <row r="25" spans="1:21" ht="13.5" customHeight="1">
      <c r="A25" s="123"/>
      <c r="B25" s="124"/>
      <c r="C25" s="125"/>
      <c r="D25" s="126"/>
      <c r="E25" s="13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1"/>
    </row>
    <row r="26" spans="1:21" ht="13.5" customHeight="1">
      <c r="A26" s="123"/>
      <c r="B26" s="124"/>
      <c r="C26" s="125"/>
      <c r="D26" s="126"/>
      <c r="E26" s="13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1"/>
    </row>
    <row r="27" spans="1:21" ht="13.5" customHeight="1">
      <c r="A27" s="123"/>
      <c r="B27" s="124"/>
      <c r="C27" s="125"/>
      <c r="D27" s="126"/>
      <c r="E27" s="13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1"/>
    </row>
    <row r="28" spans="1:21" ht="13.5" customHeight="1">
      <c r="A28" s="123"/>
      <c r="B28" s="124"/>
      <c r="C28" s="125"/>
      <c r="D28" s="126"/>
      <c r="E28" s="13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</row>
    <row r="29" spans="1:21" ht="13.5" customHeight="1">
      <c r="A29" s="123"/>
      <c r="B29" s="124"/>
      <c r="C29" s="125"/>
      <c r="D29" s="126"/>
      <c r="E29" s="13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1"/>
    </row>
    <row r="30" spans="1:21" ht="13.5" customHeight="1">
      <c r="A30" s="123"/>
      <c r="B30" s="124"/>
      <c r="C30" s="125"/>
      <c r="D30" s="126"/>
      <c r="E30" s="13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1"/>
    </row>
    <row r="31" spans="1:21" ht="13.5" customHeight="1">
      <c r="A31" s="123"/>
      <c r="B31" s="124"/>
      <c r="C31" s="125"/>
      <c r="D31" s="126"/>
      <c r="E31" s="13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1"/>
    </row>
    <row r="32" spans="1:21" ht="13.5" customHeight="1">
      <c r="A32" s="123"/>
      <c r="B32" s="132"/>
      <c r="C32" s="133"/>
      <c r="D32" s="134"/>
      <c r="E32" s="135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4"/>
    </row>
    <row r="33" spans="1:20" ht="13.5" customHeight="1">
      <c r="A33" s="138" t="s">
        <v>232</v>
      </c>
      <c r="B33" s="139" t="s">
        <v>311</v>
      </c>
      <c r="C33" s="140"/>
      <c r="D33" s="141"/>
      <c r="E33" s="142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6"/>
    </row>
    <row r="34" spans="1:20" ht="13.5" customHeight="1">
      <c r="A34" s="143"/>
      <c r="B34" s="265" t="s">
        <v>312</v>
      </c>
      <c r="C34" s="145"/>
      <c r="D34" s="146"/>
      <c r="E34" s="147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1"/>
    </row>
    <row r="35" spans="1:20" ht="13.5" customHeight="1">
      <c r="A35" s="143"/>
      <c r="B35" s="265"/>
      <c r="C35" s="145"/>
      <c r="D35" s="146"/>
      <c r="E35" s="147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1"/>
    </row>
    <row r="36" spans="1:20" ht="13.5" customHeight="1">
      <c r="A36" s="143"/>
      <c r="B36" s="265"/>
      <c r="C36" s="145"/>
      <c r="D36" s="146"/>
      <c r="E36" s="147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1"/>
    </row>
    <row r="37" spans="1:20" ht="13.5" customHeight="1">
      <c r="A37" s="143"/>
      <c r="B37" s="265"/>
      <c r="C37" s="145"/>
      <c r="D37" s="146"/>
      <c r="E37" s="147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1"/>
    </row>
    <row r="38" spans="1:20" ht="13.5" customHeight="1">
      <c r="A38" s="143"/>
      <c r="B38" s="265"/>
      <c r="C38" s="145"/>
      <c r="D38" s="146"/>
      <c r="E38" s="147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1"/>
    </row>
    <row r="39" spans="1:20" ht="13.5" customHeight="1">
      <c r="A39" s="143"/>
      <c r="B39" s="144"/>
      <c r="C39" s="187"/>
      <c r="D39" s="146"/>
      <c r="E39" s="149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1"/>
    </row>
    <row r="40" spans="1:20" ht="13.5" customHeight="1">
      <c r="A40" s="143"/>
      <c r="B40" s="144" t="s">
        <v>313</v>
      </c>
      <c r="C40" s="187"/>
      <c r="D40" s="146"/>
      <c r="E40" s="149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1"/>
    </row>
    <row r="41" spans="1:20" ht="13.5" customHeight="1">
      <c r="A41" s="143"/>
      <c r="B41" s="144"/>
      <c r="C41" s="187"/>
      <c r="D41" s="146"/>
      <c r="E41" s="149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1"/>
    </row>
    <row r="42" spans="1:20" ht="13.5" customHeight="1">
      <c r="A42" s="143"/>
      <c r="B42" s="144" t="s">
        <v>314</v>
      </c>
      <c r="C42" s="187"/>
      <c r="D42" s="146"/>
      <c r="E42" s="149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1"/>
    </row>
    <row r="43" spans="1:20" ht="13.5" customHeight="1">
      <c r="A43" s="143"/>
      <c r="B43" s="144"/>
      <c r="C43" s="187"/>
      <c r="D43" s="146"/>
      <c r="E43" s="149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1"/>
    </row>
    <row r="44" spans="1:20" ht="13.5" customHeight="1">
      <c r="A44" s="143"/>
      <c r="B44" s="150"/>
      <c r="C44" s="151"/>
      <c r="D44" s="152"/>
      <c r="E44" s="153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9"/>
    </row>
    <row r="45" spans="1:20" ht="13.5" customHeight="1">
      <c r="A45" s="138" t="s">
        <v>204</v>
      </c>
      <c r="B45" s="352" t="s">
        <v>233</v>
      </c>
      <c r="C45" s="352"/>
      <c r="D45" s="352"/>
      <c r="E45" s="156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1"/>
    </row>
    <row r="46" spans="1:20" ht="13.5" customHeight="1">
      <c r="A46" s="266"/>
      <c r="B46" s="353" t="s">
        <v>234</v>
      </c>
      <c r="C46" s="353"/>
      <c r="D46" s="353"/>
      <c r="E46" s="159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3"/>
    </row>
    <row r="47" spans="1:20" ht="13.5" customHeight="1">
      <c r="A47" s="266"/>
      <c r="B47" s="354" t="s">
        <v>235</v>
      </c>
      <c r="C47" s="354"/>
      <c r="D47" s="354"/>
      <c r="E47" s="162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</row>
    <row r="48" spans="1:20" ht="12" customHeight="1">
      <c r="A48" s="267"/>
      <c r="B48" s="355" t="s">
        <v>236</v>
      </c>
      <c r="C48" s="355"/>
      <c r="D48" s="355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7"/>
    </row>
    <row r="49" spans="1:4" ht="12" customHeight="1">
      <c r="A49" s="99"/>
      <c r="B49" s="98"/>
      <c r="C49" s="100"/>
      <c r="D49" s="98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F7:K7"/>
    <mergeCell ref="O7:T7"/>
    <mergeCell ref="D20:E20"/>
    <mergeCell ref="A6:B6"/>
    <mergeCell ref="C6:E6"/>
    <mergeCell ref="F6:K6"/>
    <mergeCell ref="L6:N6"/>
    <mergeCell ref="O6:T6"/>
    <mergeCell ref="B45:D45"/>
    <mergeCell ref="B46:D46"/>
    <mergeCell ref="B47:D47"/>
    <mergeCell ref="B48:D48"/>
    <mergeCell ref="A7:B7"/>
    <mergeCell ref="C7:E7"/>
  </mergeCells>
  <dataValidations count="3">
    <dataValidation type="list" allowBlank="1" showErrorMessage="1" sqref="F46:T46" xr:uid="{00000000-0002-0000-0700-000000000000}">
      <formula1>"P,F,"</formula1>
      <formula2>0</formula2>
    </dataValidation>
    <dataValidation type="list" allowBlank="1" showErrorMessage="1" sqref="F45:T45" xr:uid="{00000000-0002-0000-0700-000001000000}">
      <formula1>"N,A,B,"</formula1>
      <formula2>0</formula2>
    </dataValidation>
    <dataValidation type="list" allowBlank="1" showErrorMessage="1" sqref="F10:T44" xr:uid="{00000000-0002-0000-0700-000002000000}">
      <formula1>"O,"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3"/>
  <sheetViews>
    <sheetView showGridLines="0" workbookViewId="0">
      <pane ySplit="9" topLeftCell="A34" activePane="bottomLeft" state="frozen"/>
      <selection pane="bottomLeft"/>
    </sheetView>
  </sheetViews>
  <sheetFormatPr defaultColWidth="10.140625" defaultRowHeight="12.75"/>
  <cols>
    <col min="1" max="1" width="9.28515625" style="98" customWidth="1"/>
    <col min="2" max="2" width="15.140625" style="99" customWidth="1"/>
    <col min="3" max="3" width="12.28515625" style="98" customWidth="1"/>
    <col min="4" max="4" width="12.85546875" style="100" customWidth="1"/>
    <col min="5" max="5" width="2.140625" style="98" hidden="1" customWidth="1"/>
    <col min="6" max="21" width="3.28515625" style="98" customWidth="1"/>
    <col min="22" max="257" width="10.140625" style="98"/>
  </cols>
  <sheetData>
    <row r="1" spans="1:22" ht="13.5" customHeight="1">
      <c r="A1" s="101"/>
      <c r="B1" s="102"/>
    </row>
    <row r="2" spans="1:22" ht="13.5" customHeight="1">
      <c r="A2" s="369" t="s">
        <v>212</v>
      </c>
      <c r="B2" s="369"/>
      <c r="C2" s="370" t="str">
        <f>Functions!E11</f>
        <v>UT-001</v>
      </c>
      <c r="D2" s="370"/>
      <c r="E2" s="370"/>
      <c r="F2" s="371" t="s">
        <v>72</v>
      </c>
      <c r="G2" s="371"/>
      <c r="H2" s="371"/>
      <c r="I2" s="371"/>
      <c r="J2" s="371"/>
      <c r="K2" s="371"/>
      <c r="L2" s="372" t="str">
        <f>Functions!D11</f>
        <v>canReadPublication</v>
      </c>
      <c r="M2" s="372"/>
      <c r="N2" s="372"/>
      <c r="O2" s="372"/>
      <c r="P2" s="372"/>
      <c r="Q2" s="372"/>
      <c r="R2" s="372"/>
      <c r="S2" s="372"/>
      <c r="T2" s="372"/>
      <c r="V2" s="103"/>
    </row>
    <row r="3" spans="1:22" ht="13.5" customHeight="1">
      <c r="A3" s="364" t="s">
        <v>213</v>
      </c>
      <c r="B3" s="364"/>
      <c r="C3" s="373" t="s">
        <v>1374</v>
      </c>
      <c r="D3" s="373"/>
      <c r="E3" s="373"/>
      <c r="F3" s="366" t="s">
        <v>214</v>
      </c>
      <c r="G3" s="366"/>
      <c r="H3" s="366"/>
      <c r="I3" s="366"/>
      <c r="J3" s="366"/>
      <c r="K3" s="366"/>
      <c r="L3" s="374" t="s">
        <v>1375</v>
      </c>
      <c r="M3" s="374"/>
      <c r="N3" s="374"/>
      <c r="O3" s="104"/>
      <c r="P3" s="104"/>
      <c r="Q3" s="104"/>
      <c r="R3" s="104"/>
      <c r="S3" s="104"/>
      <c r="T3" s="105"/>
    </row>
    <row r="4" spans="1:22" ht="13.5" customHeight="1">
      <c r="A4" s="364" t="s">
        <v>215</v>
      </c>
      <c r="B4" s="364"/>
      <c r="C4" s="365">
        <v>21</v>
      </c>
      <c r="D4" s="365"/>
      <c r="E4" s="106"/>
      <c r="F4" s="366" t="s">
        <v>216</v>
      </c>
      <c r="G4" s="366"/>
      <c r="H4" s="366"/>
      <c r="I4" s="366"/>
      <c r="J4" s="366"/>
      <c r="K4" s="366"/>
      <c r="L4" s="367" t="str">
        <f>IF(OR(Functions!E6="N/A",C4=""),"N/A",MAX(0,ROUNDUP(C4*Functions!E6/1000,0)-O7))</f>
        <v>N/A</v>
      </c>
      <c r="M4" s="367"/>
      <c r="N4" s="367"/>
      <c r="O4" s="367"/>
      <c r="P4" s="367"/>
      <c r="Q4" s="367"/>
      <c r="R4" s="367"/>
      <c r="S4" s="367"/>
      <c r="T4" s="367"/>
      <c r="V4" s="103"/>
    </row>
    <row r="5" spans="1:22" ht="13.5" customHeight="1">
      <c r="A5" s="364" t="s">
        <v>217</v>
      </c>
      <c r="B5" s="364"/>
      <c r="C5" s="386" t="s">
        <v>218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2" ht="13.5" customHeight="1">
      <c r="A6" s="360" t="s">
        <v>195</v>
      </c>
      <c r="B6" s="360"/>
      <c r="C6" s="361" t="s">
        <v>196</v>
      </c>
      <c r="D6" s="361"/>
      <c r="E6" s="361"/>
      <c r="F6" s="361" t="s">
        <v>197</v>
      </c>
      <c r="G6" s="361"/>
      <c r="H6" s="361"/>
      <c r="I6" s="361"/>
      <c r="J6" s="361"/>
      <c r="K6" s="361"/>
      <c r="L6" s="362" t="s">
        <v>219</v>
      </c>
      <c r="M6" s="362"/>
      <c r="N6" s="362"/>
      <c r="O6" s="363" t="s">
        <v>201</v>
      </c>
      <c r="P6" s="363"/>
      <c r="Q6" s="363"/>
      <c r="R6" s="363"/>
      <c r="S6" s="363"/>
      <c r="T6" s="363"/>
      <c r="V6" s="103"/>
    </row>
    <row r="7" spans="1:22" ht="13.5" customHeight="1">
      <c r="A7" s="356">
        <f>COUNTIF(F40:T40,"P")</f>
        <v>0</v>
      </c>
      <c r="B7" s="356"/>
      <c r="C7" s="357">
        <f>COUNTIF(F40:T40,"F")</f>
        <v>0</v>
      </c>
      <c r="D7" s="357"/>
      <c r="E7" s="357"/>
      <c r="F7" s="357">
        <f>MAX(0,O7-A7-C7)</f>
        <v>8</v>
      </c>
      <c r="G7" s="357"/>
      <c r="H7" s="357"/>
      <c r="I7" s="357"/>
      <c r="J7" s="357"/>
      <c r="K7" s="357"/>
      <c r="L7" s="107">
        <f>COUNTIF(F39:T39,"N")</f>
        <v>2</v>
      </c>
      <c r="M7" s="107">
        <f>COUNTIF(F39:T39,"A")</f>
        <v>5</v>
      </c>
      <c r="N7" s="107">
        <f>COUNTIF(F39:T39,"B")</f>
        <v>1</v>
      </c>
      <c r="O7" s="358">
        <f>COUNTA(F9:T9)</f>
        <v>8</v>
      </c>
      <c r="P7" s="358"/>
      <c r="Q7" s="358"/>
      <c r="R7" s="358"/>
      <c r="S7" s="358"/>
      <c r="T7" s="358"/>
      <c r="U7" s="108"/>
    </row>
    <row r="8" spans="1:22" ht="12" customHeight="1"/>
    <row r="9" spans="1:22" ht="46.5" customHeight="1">
      <c r="A9" s="109"/>
      <c r="B9" s="110"/>
      <c r="C9" s="111"/>
      <c r="D9" s="112"/>
      <c r="E9" s="111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 t="s">
        <v>227</v>
      </c>
      <c r="N9" s="113"/>
      <c r="O9" s="113"/>
      <c r="P9" s="113"/>
      <c r="Q9" s="113"/>
      <c r="R9" s="113"/>
      <c r="S9" s="113"/>
      <c r="T9" s="114"/>
      <c r="U9" s="115"/>
      <c r="V9" s="103"/>
    </row>
    <row r="10" spans="1:22" ht="13.5" customHeight="1">
      <c r="A10" s="116" t="s">
        <v>228</v>
      </c>
      <c r="B10" s="117" t="s">
        <v>229</v>
      </c>
      <c r="C10" s="118"/>
      <c r="D10" s="119"/>
      <c r="E10" s="120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2"/>
    </row>
    <row r="11" spans="1:22" ht="36" customHeight="1">
      <c r="A11" s="123"/>
      <c r="B11" s="375" t="s">
        <v>82</v>
      </c>
      <c r="C11" s="376"/>
      <c r="D11" s="377"/>
      <c r="E11" s="120"/>
      <c r="F11" s="127" t="s">
        <v>230</v>
      </c>
      <c r="G11" s="127" t="s">
        <v>230</v>
      </c>
      <c r="H11" s="127" t="s">
        <v>230</v>
      </c>
      <c r="I11" s="127" t="s">
        <v>230</v>
      </c>
      <c r="J11" s="127" t="s">
        <v>230</v>
      </c>
      <c r="K11" s="127" t="s">
        <v>230</v>
      </c>
      <c r="L11" s="127" t="s">
        <v>230</v>
      </c>
      <c r="M11" s="127" t="s">
        <v>230</v>
      </c>
      <c r="N11" s="127"/>
      <c r="O11" s="127"/>
      <c r="P11" s="127"/>
      <c r="Q11" s="127"/>
      <c r="R11" s="127"/>
      <c r="S11" s="127"/>
      <c r="T11" s="128"/>
      <c r="V11" s="103"/>
    </row>
    <row r="12" spans="1:22" ht="13.5" customHeight="1">
      <c r="A12" s="123"/>
      <c r="B12" s="124"/>
      <c r="C12" s="125"/>
      <c r="D12" s="126"/>
      <c r="E12" s="120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8"/>
    </row>
    <row r="13" spans="1:22" ht="13.5" customHeight="1">
      <c r="A13" s="123"/>
      <c r="B13" s="124"/>
      <c r="C13" s="125"/>
      <c r="D13" s="126"/>
      <c r="E13" s="129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8"/>
    </row>
    <row r="14" spans="1:22" ht="13.5" customHeight="1">
      <c r="A14" s="123"/>
      <c r="B14" s="124" t="s">
        <v>231</v>
      </c>
      <c r="C14" s="125"/>
      <c r="D14" s="126"/>
      <c r="E14" s="130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8"/>
    </row>
    <row r="15" spans="1:22" ht="24.95" customHeight="1">
      <c r="A15" s="123"/>
      <c r="B15" s="375" t="s">
        <v>1191</v>
      </c>
      <c r="C15" s="376"/>
      <c r="D15" s="377"/>
      <c r="E15" s="130"/>
      <c r="F15" s="127" t="s">
        <v>230</v>
      </c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8"/>
    </row>
    <row r="16" spans="1:22" ht="24.95" customHeight="1">
      <c r="A16" s="123"/>
      <c r="B16" s="375" t="s">
        <v>1192</v>
      </c>
      <c r="C16" s="376"/>
      <c r="D16" s="377"/>
      <c r="E16" s="130"/>
      <c r="F16" s="127"/>
      <c r="G16" s="127" t="s">
        <v>230</v>
      </c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8"/>
    </row>
    <row r="17" spans="1:21" ht="24.95" customHeight="1">
      <c r="A17" s="123"/>
      <c r="B17" s="375" t="s">
        <v>1193</v>
      </c>
      <c r="C17" s="376"/>
      <c r="D17" s="377"/>
      <c r="E17" s="130"/>
      <c r="F17" s="127"/>
      <c r="G17" s="127"/>
      <c r="H17" s="127" t="s">
        <v>230</v>
      </c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8"/>
      <c r="U17" s="131"/>
    </row>
    <row r="18" spans="1:21" ht="24.95" customHeight="1">
      <c r="A18" s="123"/>
      <c r="B18" s="375" t="s">
        <v>1194</v>
      </c>
      <c r="C18" s="376"/>
      <c r="D18" s="377"/>
      <c r="E18" s="130"/>
      <c r="F18" s="127"/>
      <c r="G18" s="127"/>
      <c r="H18" s="127"/>
      <c r="I18" s="127" t="s">
        <v>230</v>
      </c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8"/>
      <c r="U18" s="131"/>
    </row>
    <row r="19" spans="1:21" ht="24.95" customHeight="1">
      <c r="A19" s="123"/>
      <c r="B19" s="337" t="s">
        <v>1195</v>
      </c>
      <c r="C19" s="338"/>
      <c r="D19" s="385"/>
      <c r="E19" s="359"/>
      <c r="F19" s="127"/>
      <c r="G19" s="127"/>
      <c r="H19" s="127"/>
      <c r="I19" s="127"/>
      <c r="J19" s="127" t="s">
        <v>230</v>
      </c>
      <c r="K19" s="127"/>
      <c r="L19" s="127"/>
      <c r="M19" s="127"/>
      <c r="N19" s="127"/>
      <c r="O19" s="127"/>
      <c r="P19" s="127"/>
      <c r="Q19" s="127"/>
      <c r="R19" s="127"/>
      <c r="S19" s="127"/>
      <c r="T19" s="128"/>
    </row>
    <row r="20" spans="1:21" ht="24.95" customHeight="1">
      <c r="A20" s="123"/>
      <c r="B20" s="375" t="s">
        <v>1196</v>
      </c>
      <c r="C20" s="376"/>
      <c r="D20" s="377"/>
      <c r="E20" s="130"/>
      <c r="F20" s="127"/>
      <c r="G20" s="127"/>
      <c r="H20" s="127"/>
      <c r="I20" s="127"/>
      <c r="J20" s="127"/>
      <c r="K20" s="127" t="s">
        <v>230</v>
      </c>
      <c r="L20" s="127"/>
      <c r="M20" s="127"/>
      <c r="N20" s="127"/>
      <c r="O20" s="127"/>
      <c r="P20" s="127"/>
      <c r="Q20" s="127"/>
      <c r="R20" s="127"/>
      <c r="S20" s="127"/>
      <c r="T20" s="128"/>
    </row>
    <row r="21" spans="1:21" ht="24.95" customHeight="1">
      <c r="A21" s="123"/>
      <c r="B21" s="375" t="s">
        <v>1197</v>
      </c>
      <c r="C21" s="376"/>
      <c r="D21" s="377"/>
      <c r="E21" s="130"/>
      <c r="F21" s="127"/>
      <c r="G21" s="127"/>
      <c r="H21" s="127"/>
      <c r="I21" s="127"/>
      <c r="J21" s="127"/>
      <c r="K21" s="127"/>
      <c r="L21" s="127" t="s">
        <v>230</v>
      </c>
      <c r="M21" s="127"/>
      <c r="N21" s="127"/>
      <c r="O21" s="127"/>
      <c r="P21" s="127"/>
      <c r="Q21" s="127"/>
      <c r="R21" s="127"/>
      <c r="S21" s="127"/>
      <c r="T21" s="128"/>
    </row>
    <row r="22" spans="1:21" ht="24.95" customHeight="1">
      <c r="A22" s="123"/>
      <c r="B22" s="375" t="s">
        <v>1198</v>
      </c>
      <c r="C22" s="376"/>
      <c r="D22" s="377"/>
      <c r="E22" s="130"/>
      <c r="F22" s="127"/>
      <c r="G22" s="127"/>
      <c r="H22" s="127"/>
      <c r="I22" s="127"/>
      <c r="J22" s="127"/>
      <c r="K22" s="127"/>
      <c r="L22" s="127"/>
      <c r="M22" s="127" t="s">
        <v>230</v>
      </c>
      <c r="N22" s="127"/>
      <c r="O22" s="127"/>
      <c r="P22" s="127"/>
      <c r="Q22" s="127"/>
      <c r="R22" s="127"/>
      <c r="S22" s="127"/>
      <c r="T22" s="128"/>
    </row>
    <row r="23" spans="1:21" ht="13.5" customHeight="1">
      <c r="A23" s="123"/>
      <c r="B23" s="124"/>
      <c r="C23" s="125"/>
      <c r="D23" s="126"/>
      <c r="E23" s="130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8"/>
    </row>
    <row r="24" spans="1:21" ht="13.5" customHeight="1">
      <c r="A24" s="123"/>
      <c r="B24" s="124"/>
      <c r="C24" s="125"/>
      <c r="D24" s="126"/>
      <c r="E24" s="130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8"/>
    </row>
    <row r="25" spans="1:21" ht="13.5" customHeight="1">
      <c r="A25" s="123"/>
      <c r="B25" s="124"/>
      <c r="C25" s="125"/>
      <c r="D25" s="126"/>
      <c r="E25" s="130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8"/>
    </row>
    <row r="26" spans="1:21" ht="13.5" customHeight="1">
      <c r="A26" s="123"/>
      <c r="B26" s="124"/>
      <c r="C26" s="125"/>
      <c r="D26" s="126"/>
      <c r="E26" s="130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8"/>
    </row>
    <row r="27" spans="1:21" ht="13.5" customHeight="1">
      <c r="A27" s="123"/>
      <c r="B27" s="124"/>
      <c r="C27" s="125"/>
      <c r="D27" s="126"/>
      <c r="E27" s="130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8"/>
    </row>
    <row r="28" spans="1:21" ht="13.5" customHeight="1">
      <c r="A28" s="123"/>
      <c r="B28" s="124"/>
      <c r="C28" s="125"/>
      <c r="D28" s="126"/>
      <c r="E28" s="130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8"/>
    </row>
    <row r="29" spans="1:21" ht="13.5" customHeight="1">
      <c r="A29" s="123"/>
      <c r="B29" s="124"/>
      <c r="C29" s="125"/>
      <c r="D29" s="126"/>
      <c r="E29" s="130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8"/>
    </row>
    <row r="30" spans="1:21" ht="13.5" customHeight="1">
      <c r="A30" s="123"/>
      <c r="B30" s="132"/>
      <c r="C30" s="133"/>
      <c r="D30" s="134"/>
      <c r="E30" s="135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7"/>
    </row>
    <row r="31" spans="1:21" ht="13.5" customHeight="1">
      <c r="A31" s="138" t="s">
        <v>232</v>
      </c>
      <c r="B31" s="139" t="s">
        <v>232</v>
      </c>
      <c r="C31" s="140"/>
      <c r="D31" s="141"/>
      <c r="E31" s="142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2"/>
    </row>
    <row r="32" spans="1:21" ht="23.1" customHeight="1">
      <c r="A32" s="143"/>
      <c r="B32" s="375" t="s">
        <v>1199</v>
      </c>
      <c r="C32" s="376"/>
      <c r="D32" s="377"/>
      <c r="E32" s="147"/>
      <c r="F32" s="127" t="s">
        <v>230</v>
      </c>
      <c r="G32" s="127"/>
      <c r="H32" s="127"/>
      <c r="I32" s="127"/>
      <c r="J32" s="127"/>
      <c r="K32" s="127" t="s">
        <v>230</v>
      </c>
      <c r="L32" s="127"/>
      <c r="M32" s="127"/>
      <c r="N32" s="127"/>
      <c r="O32" s="127"/>
      <c r="P32" s="127"/>
      <c r="Q32" s="127"/>
      <c r="R32" s="127"/>
      <c r="S32" s="127"/>
      <c r="T32" s="128"/>
    </row>
    <row r="33" spans="1:20" ht="23.1" customHeight="1">
      <c r="A33" s="143"/>
      <c r="B33" s="375" t="s">
        <v>1200</v>
      </c>
      <c r="C33" s="376"/>
      <c r="D33" s="377"/>
      <c r="E33" s="149"/>
      <c r="F33" s="127"/>
      <c r="G33" s="127" t="s">
        <v>230</v>
      </c>
      <c r="H33" s="127" t="s">
        <v>230</v>
      </c>
      <c r="I33" s="127" t="s">
        <v>230</v>
      </c>
      <c r="J33" s="127"/>
      <c r="K33" s="127"/>
      <c r="L33" s="127" t="s">
        <v>230</v>
      </c>
      <c r="M33" s="127" t="s">
        <v>230</v>
      </c>
      <c r="N33" s="127"/>
      <c r="O33" s="127"/>
      <c r="P33" s="127"/>
      <c r="Q33" s="127"/>
      <c r="R33" s="127"/>
      <c r="S33" s="127"/>
      <c r="T33" s="128"/>
    </row>
    <row r="34" spans="1:20" ht="23.1" customHeight="1">
      <c r="A34" s="143"/>
      <c r="B34" s="375" t="s">
        <v>1201</v>
      </c>
      <c r="C34" s="376"/>
      <c r="D34" s="377"/>
      <c r="E34" s="149"/>
      <c r="F34" s="127"/>
      <c r="G34" s="127"/>
      <c r="H34" s="127"/>
      <c r="I34" s="127"/>
      <c r="J34" s="127" t="s">
        <v>230</v>
      </c>
      <c r="K34" s="127"/>
      <c r="L34" s="127"/>
      <c r="M34" s="127"/>
      <c r="N34" s="127"/>
      <c r="O34" s="127"/>
      <c r="P34" s="127"/>
      <c r="Q34" s="127"/>
      <c r="R34" s="127"/>
      <c r="S34" s="127"/>
      <c r="T34" s="128"/>
    </row>
    <row r="35" spans="1:20" ht="13.5" customHeight="1">
      <c r="A35" s="143"/>
      <c r="B35" s="144"/>
      <c r="C35" s="148"/>
      <c r="D35" s="146"/>
      <c r="E35" s="149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8"/>
    </row>
    <row r="36" spans="1:20" ht="13.5" customHeight="1">
      <c r="A36" s="143"/>
      <c r="B36" s="144"/>
      <c r="C36" s="148"/>
      <c r="D36" s="146"/>
      <c r="E36" s="149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8"/>
    </row>
    <row r="37" spans="1:20" ht="13.5" customHeight="1">
      <c r="A37" s="143"/>
      <c r="B37" s="144"/>
      <c r="C37" s="148"/>
      <c r="D37" s="146"/>
      <c r="E37" s="149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8"/>
    </row>
    <row r="38" spans="1:20" ht="13.5" customHeight="1">
      <c r="A38" s="143"/>
      <c r="B38" s="150"/>
      <c r="C38" s="151"/>
      <c r="D38" s="152"/>
      <c r="E38" s="153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5"/>
    </row>
    <row r="39" spans="1:20" ht="13.5" customHeight="1">
      <c r="A39" s="138" t="s">
        <v>204</v>
      </c>
      <c r="B39" s="352" t="s">
        <v>233</v>
      </c>
      <c r="C39" s="352"/>
      <c r="D39" s="352"/>
      <c r="E39" s="156"/>
      <c r="F39" s="157" t="s">
        <v>198</v>
      </c>
      <c r="G39" s="157" t="s">
        <v>199</v>
      </c>
      <c r="H39" s="157" t="s">
        <v>199</v>
      </c>
      <c r="I39" s="157" t="s">
        <v>199</v>
      </c>
      <c r="J39" s="157" t="s">
        <v>200</v>
      </c>
      <c r="K39" s="157" t="s">
        <v>198</v>
      </c>
      <c r="L39" s="157" t="s">
        <v>199</v>
      </c>
      <c r="M39" s="157" t="s">
        <v>199</v>
      </c>
      <c r="N39" s="157"/>
      <c r="O39" s="157"/>
      <c r="P39" s="157"/>
      <c r="Q39" s="157"/>
      <c r="R39" s="157"/>
      <c r="S39" s="157"/>
      <c r="T39" s="158"/>
    </row>
    <row r="40" spans="1:20" ht="13.5" customHeight="1">
      <c r="A40" s="143"/>
      <c r="B40" s="353" t="s">
        <v>234</v>
      </c>
      <c r="C40" s="353"/>
      <c r="D40" s="353"/>
      <c r="E40" s="159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/>
    </row>
    <row r="41" spans="1:20" ht="13.5" customHeight="1">
      <c r="A41" s="143"/>
      <c r="B41" s="354" t="s">
        <v>235</v>
      </c>
      <c r="C41" s="354"/>
      <c r="D41" s="354"/>
      <c r="E41" s="162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4"/>
    </row>
    <row r="42" spans="1:20" ht="80.099999999999994" customHeight="1">
      <c r="A42" s="165"/>
      <c r="B42" s="355" t="s">
        <v>236</v>
      </c>
      <c r="C42" s="355"/>
      <c r="D42" s="355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7"/>
    </row>
    <row r="43" spans="1:20" ht="12" customHeight="1">
      <c r="A43" s="168"/>
    </row>
    <row r="44" spans="1:20" ht="30.95" customHeight="1">
      <c r="A44" s="384" t="s">
        <v>237</v>
      </c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</row>
    <row r="45" spans="1:20" ht="27.95" customHeight="1">
      <c r="A45" s="86" t="s">
        <v>238</v>
      </c>
      <c r="B45" s="382" t="s">
        <v>239</v>
      </c>
      <c r="C45" s="382"/>
      <c r="D45" s="382"/>
      <c r="E45" s="382"/>
      <c r="F45" s="382"/>
      <c r="G45" s="382"/>
      <c r="H45" s="382"/>
      <c r="I45" s="382"/>
      <c r="J45" s="382"/>
      <c r="K45" s="383" t="s">
        <v>240</v>
      </c>
      <c r="L45" s="383"/>
      <c r="M45" s="383"/>
      <c r="N45" s="383"/>
      <c r="O45" s="383"/>
      <c r="P45" s="383"/>
      <c r="Q45" s="383"/>
      <c r="R45" s="383"/>
      <c r="S45" s="383"/>
      <c r="T45" s="383"/>
    </row>
    <row r="46" spans="1:20" ht="33.950000000000003" customHeight="1">
      <c r="A46" s="169" t="s">
        <v>241</v>
      </c>
      <c r="B46" s="380" t="s">
        <v>242</v>
      </c>
      <c r="C46" s="380"/>
      <c r="D46" s="380"/>
      <c r="E46" s="380"/>
      <c r="F46" s="380"/>
      <c r="G46" s="380"/>
      <c r="H46" s="380"/>
      <c r="I46" s="380"/>
      <c r="J46" s="380"/>
      <c r="K46" s="381" t="s">
        <v>243</v>
      </c>
      <c r="L46" s="381"/>
      <c r="M46" s="381"/>
      <c r="N46" s="381"/>
      <c r="O46" s="381"/>
      <c r="P46" s="381"/>
      <c r="Q46" s="381"/>
      <c r="R46" s="381"/>
      <c r="S46" s="381"/>
      <c r="T46" s="381"/>
    </row>
    <row r="47" spans="1:20" ht="33.950000000000003" customHeight="1">
      <c r="A47" s="170" t="s">
        <v>244</v>
      </c>
      <c r="B47" s="378" t="s">
        <v>242</v>
      </c>
      <c r="C47" s="378"/>
      <c r="D47" s="378"/>
      <c r="E47" s="378"/>
      <c r="F47" s="378"/>
      <c r="G47" s="378"/>
      <c r="H47" s="378"/>
      <c r="I47" s="378"/>
      <c r="J47" s="378"/>
      <c r="K47" s="379" t="s">
        <v>245</v>
      </c>
      <c r="L47" s="379"/>
      <c r="M47" s="379"/>
      <c r="N47" s="379"/>
      <c r="O47" s="379"/>
      <c r="P47" s="379"/>
      <c r="Q47" s="379"/>
      <c r="R47" s="379"/>
      <c r="S47" s="379"/>
      <c r="T47" s="379"/>
    </row>
    <row r="48" spans="1:20" ht="33.950000000000003" customHeight="1">
      <c r="A48" s="169" t="s">
        <v>246</v>
      </c>
      <c r="B48" s="380" t="s">
        <v>242</v>
      </c>
      <c r="C48" s="380"/>
      <c r="D48" s="380"/>
      <c r="E48" s="380"/>
      <c r="F48" s="380"/>
      <c r="G48" s="380"/>
      <c r="H48" s="380"/>
      <c r="I48" s="380"/>
      <c r="J48" s="380"/>
      <c r="K48" s="381" t="s">
        <v>247</v>
      </c>
      <c r="L48" s="381"/>
      <c r="M48" s="381"/>
      <c r="N48" s="381"/>
      <c r="O48" s="381"/>
      <c r="P48" s="381"/>
      <c r="Q48" s="381"/>
      <c r="R48" s="381"/>
      <c r="S48" s="381"/>
      <c r="T48" s="381"/>
    </row>
    <row r="49" spans="1:20" ht="33.950000000000003" customHeight="1">
      <c r="A49" s="170" t="s">
        <v>248</v>
      </c>
      <c r="B49" s="378" t="s">
        <v>242</v>
      </c>
      <c r="C49" s="378"/>
      <c r="D49" s="378"/>
      <c r="E49" s="378"/>
      <c r="F49" s="378"/>
      <c r="G49" s="378"/>
      <c r="H49" s="378"/>
      <c r="I49" s="378"/>
      <c r="J49" s="378"/>
      <c r="K49" s="379" t="s">
        <v>249</v>
      </c>
      <c r="L49" s="379"/>
      <c r="M49" s="379"/>
      <c r="N49" s="379"/>
      <c r="O49" s="379"/>
      <c r="P49" s="379"/>
      <c r="Q49" s="379"/>
      <c r="R49" s="379"/>
      <c r="S49" s="379"/>
      <c r="T49" s="379"/>
    </row>
    <row r="50" spans="1:20" ht="33.950000000000003" customHeight="1">
      <c r="A50" s="169" t="s">
        <v>250</v>
      </c>
      <c r="B50" s="380" t="s">
        <v>251</v>
      </c>
      <c r="C50" s="380"/>
      <c r="D50" s="380"/>
      <c r="E50" s="380"/>
      <c r="F50" s="380"/>
      <c r="G50" s="380"/>
      <c r="H50" s="380"/>
      <c r="I50" s="380"/>
      <c r="J50" s="380"/>
      <c r="K50" s="381" t="s">
        <v>252</v>
      </c>
      <c r="L50" s="381"/>
      <c r="M50" s="381"/>
      <c r="N50" s="381"/>
      <c r="O50" s="381"/>
      <c r="P50" s="381"/>
      <c r="Q50" s="381"/>
      <c r="R50" s="381"/>
      <c r="S50" s="381"/>
      <c r="T50" s="381"/>
    </row>
    <row r="51" spans="1:20" ht="33.950000000000003" customHeight="1">
      <c r="A51" s="170" t="s">
        <v>253</v>
      </c>
      <c r="B51" s="378" t="s">
        <v>254</v>
      </c>
      <c r="C51" s="378"/>
      <c r="D51" s="378"/>
      <c r="E51" s="378"/>
      <c r="F51" s="378"/>
      <c r="G51" s="378"/>
      <c r="H51" s="378"/>
      <c r="I51" s="378"/>
      <c r="J51" s="378"/>
      <c r="K51" s="379" t="s">
        <v>255</v>
      </c>
      <c r="L51" s="379"/>
      <c r="M51" s="379"/>
      <c r="N51" s="379"/>
      <c r="O51" s="379"/>
      <c r="P51" s="379"/>
      <c r="Q51" s="379"/>
      <c r="R51" s="379"/>
      <c r="S51" s="379"/>
      <c r="T51" s="379"/>
    </row>
    <row r="52" spans="1:20" ht="33.950000000000003" customHeight="1">
      <c r="A52" s="169" t="s">
        <v>256</v>
      </c>
      <c r="B52" s="380" t="s">
        <v>254</v>
      </c>
      <c r="C52" s="380"/>
      <c r="D52" s="380"/>
      <c r="E52" s="380"/>
      <c r="F52" s="380"/>
      <c r="G52" s="380"/>
      <c r="H52" s="380"/>
      <c r="I52" s="380"/>
      <c r="J52" s="380"/>
      <c r="K52" s="381" t="s">
        <v>257</v>
      </c>
      <c r="L52" s="381"/>
      <c r="M52" s="381"/>
      <c r="N52" s="381"/>
      <c r="O52" s="381"/>
      <c r="P52" s="381"/>
      <c r="Q52" s="381"/>
      <c r="R52" s="381"/>
      <c r="S52" s="381"/>
      <c r="T52" s="381"/>
    </row>
    <row r="53" spans="1:20" ht="33.950000000000003" customHeight="1">
      <c r="A53" s="170" t="s">
        <v>258</v>
      </c>
      <c r="B53" s="378" t="s">
        <v>259</v>
      </c>
      <c r="C53" s="378"/>
      <c r="D53" s="378"/>
      <c r="E53" s="378"/>
      <c r="F53" s="378"/>
      <c r="G53" s="378"/>
      <c r="H53" s="378"/>
      <c r="I53" s="378"/>
      <c r="J53" s="378"/>
      <c r="K53" s="379" t="s">
        <v>260</v>
      </c>
      <c r="L53" s="379"/>
      <c r="M53" s="379"/>
      <c r="N53" s="379"/>
      <c r="O53" s="379"/>
      <c r="P53" s="379"/>
      <c r="Q53" s="379"/>
      <c r="R53" s="379"/>
      <c r="S53" s="379"/>
      <c r="T53" s="379"/>
    </row>
  </sheetData>
  <mergeCells count="5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11:D11"/>
    <mergeCell ref="B15:D15"/>
    <mergeCell ref="B16:D16"/>
    <mergeCell ref="B17:D17"/>
    <mergeCell ref="B18:D18"/>
    <mergeCell ref="B39:D39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53:J53"/>
    <mergeCell ref="K53:T53"/>
    <mergeCell ref="B34:D34"/>
    <mergeCell ref="B20:D20"/>
    <mergeCell ref="B21:D21"/>
    <mergeCell ref="B22:D22"/>
    <mergeCell ref="B32:D32"/>
    <mergeCell ref="B33:D33"/>
  </mergeCells>
  <dataValidations count="3">
    <dataValidation type="list" allowBlank="1" showErrorMessage="1" sqref="F39:T39" xr:uid="{00000000-0002-0000-0400-000000000000}">
      <formula1>"N,A,B"</formula1>
      <formula2>0</formula2>
    </dataValidation>
    <dataValidation type="list" allowBlank="1" showErrorMessage="1" sqref="F40:T40" xr:uid="{00000000-0002-0000-0400-000001000000}">
      <formula1>"P,F"</formula1>
      <formula2>0</formula2>
    </dataValidation>
    <dataValidation type="list" allowBlank="1" showErrorMessage="1" sqref="F10:T38" xr:uid="{00000000-0002-0000-0400-000002000000}">
      <formula1>"O,"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52"/>
  <sheetViews>
    <sheetView showGridLines="0" workbookViewId="0">
      <pane ySplit="9" topLeftCell="A16" activePane="bottomLeft" state="frozen"/>
      <selection pane="bottomLeft" activeCell="V32" sqref="V32"/>
    </sheetView>
  </sheetViews>
  <sheetFormatPr defaultColWidth="10.140625" defaultRowHeight="12.75"/>
  <cols>
    <col min="1" max="1" width="9.28515625" style="98" customWidth="1"/>
    <col min="2" max="2" width="15.140625" style="99" customWidth="1"/>
    <col min="3" max="3" width="12.28515625" style="98" customWidth="1"/>
    <col min="4" max="4" width="12.85546875" style="100" customWidth="1"/>
    <col min="5" max="5" width="2.140625" style="98" hidden="1" customWidth="1"/>
    <col min="6" max="21" width="3.28515625" style="98" customWidth="1"/>
    <col min="22" max="257" width="10.140625" style="98"/>
  </cols>
  <sheetData>
    <row r="1" spans="1:22" ht="22.5" customHeight="1">
      <c r="D1" s="171"/>
    </row>
    <row r="2" spans="1:22" ht="15" customHeight="1">
      <c r="A2" s="388" t="s">
        <v>212</v>
      </c>
      <c r="B2" s="388"/>
      <c r="C2" s="370" t="str">
        <f>Functions!E12</f>
        <v>UT-002</v>
      </c>
      <c r="D2" s="370"/>
      <c r="E2" s="172"/>
      <c r="F2" s="389" t="s">
        <v>72</v>
      </c>
      <c r="G2" s="389"/>
      <c r="H2" s="389"/>
      <c r="I2" s="389"/>
      <c r="J2" s="389"/>
      <c r="K2" s="389"/>
      <c r="L2" s="390" t="str">
        <f>Functions!D12</f>
        <v>canReviewSnapshot</v>
      </c>
      <c r="M2" s="390"/>
      <c r="N2" s="390"/>
      <c r="O2" s="390"/>
      <c r="P2" s="390"/>
      <c r="Q2" s="390"/>
      <c r="R2" s="390"/>
      <c r="S2" s="390"/>
      <c r="T2" s="390"/>
    </row>
    <row r="3" spans="1:22" ht="13.5" customHeight="1">
      <c r="A3" s="391" t="s">
        <v>213</v>
      </c>
      <c r="B3" s="391"/>
      <c r="C3" s="373" t="s">
        <v>1374</v>
      </c>
      <c r="D3" s="373"/>
      <c r="E3" s="373"/>
      <c r="F3" s="392" t="s">
        <v>214</v>
      </c>
      <c r="G3" s="392"/>
      <c r="H3" s="392"/>
      <c r="I3" s="392"/>
      <c r="J3" s="392"/>
      <c r="K3" s="392"/>
      <c r="L3" s="374" t="s">
        <v>1375</v>
      </c>
      <c r="M3" s="374"/>
      <c r="N3" s="374"/>
      <c r="O3" s="104"/>
      <c r="P3" s="104"/>
      <c r="Q3" s="104"/>
      <c r="R3" s="104"/>
      <c r="S3" s="104"/>
      <c r="T3" s="105"/>
    </row>
    <row r="4" spans="1:22" ht="13.5" customHeight="1">
      <c r="A4" s="364" t="s">
        <v>215</v>
      </c>
      <c r="B4" s="364"/>
      <c r="C4" s="365">
        <v>12</v>
      </c>
      <c r="D4" s="365"/>
      <c r="E4" s="106"/>
      <c r="F4" s="366" t="s">
        <v>216</v>
      </c>
      <c r="G4" s="366"/>
      <c r="H4" s="366"/>
      <c r="I4" s="366"/>
      <c r="J4" s="366"/>
      <c r="K4" s="366"/>
      <c r="L4" s="367" t="str">
        <f>IF(OR(Functions!E6="N/A",C4=""),"N/A",MAX(0,ROUNDUP(C4*Functions!E6/1000,0)-O7))</f>
        <v>N/A</v>
      </c>
      <c r="M4" s="367"/>
      <c r="N4" s="367"/>
      <c r="O4" s="367"/>
      <c r="P4" s="367"/>
      <c r="Q4" s="367"/>
      <c r="R4" s="367"/>
      <c r="S4" s="367"/>
      <c r="T4" s="367"/>
      <c r="V4" s="103"/>
    </row>
    <row r="5" spans="1:22" ht="13.5" customHeight="1">
      <c r="A5" s="364" t="s">
        <v>217</v>
      </c>
      <c r="B5" s="364"/>
      <c r="C5" s="386" t="s">
        <v>261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2" ht="13.5" customHeight="1">
      <c r="A6" s="360" t="s">
        <v>195</v>
      </c>
      <c r="B6" s="360"/>
      <c r="C6" s="361" t="s">
        <v>196</v>
      </c>
      <c r="D6" s="361"/>
      <c r="E6" s="361"/>
      <c r="F6" s="361" t="s">
        <v>197</v>
      </c>
      <c r="G6" s="361"/>
      <c r="H6" s="361"/>
      <c r="I6" s="361"/>
      <c r="J6" s="361"/>
      <c r="K6" s="361"/>
      <c r="L6" s="362" t="s">
        <v>219</v>
      </c>
      <c r="M6" s="362"/>
      <c r="N6" s="362"/>
      <c r="O6" s="363" t="s">
        <v>201</v>
      </c>
      <c r="P6" s="363"/>
      <c r="Q6" s="363"/>
      <c r="R6" s="363"/>
      <c r="S6" s="363"/>
      <c r="T6" s="363"/>
      <c r="V6" s="103"/>
    </row>
    <row r="7" spans="1:22" ht="13.5" customHeight="1">
      <c r="A7" s="356">
        <f>COUNTIF(F40:T40,"P")</f>
        <v>0</v>
      </c>
      <c r="B7" s="356"/>
      <c r="C7" s="357">
        <f>COUNTIF(F40:T40,"F")</f>
        <v>0</v>
      </c>
      <c r="D7" s="357"/>
      <c r="E7" s="357"/>
      <c r="F7" s="357">
        <f>MAX(0,O7-A7-C7)</f>
        <v>7</v>
      </c>
      <c r="G7" s="357"/>
      <c r="H7" s="357"/>
      <c r="I7" s="357"/>
      <c r="J7" s="357"/>
      <c r="K7" s="357"/>
      <c r="L7" s="107">
        <f>COUNTIF(F39:T39,"N")</f>
        <v>3</v>
      </c>
      <c r="M7" s="107">
        <f>COUNTIF(F39:T39,"A")</f>
        <v>2</v>
      </c>
      <c r="N7" s="107">
        <f>COUNTIF(F39:T39,"B")</f>
        <v>2</v>
      </c>
      <c r="O7" s="358">
        <f>COUNTA(F9:T9)</f>
        <v>7</v>
      </c>
      <c r="P7" s="358"/>
      <c r="Q7" s="358"/>
      <c r="R7" s="358"/>
      <c r="S7" s="358"/>
      <c r="T7" s="358"/>
      <c r="U7" s="108"/>
    </row>
    <row r="8" spans="1:22" ht="12" customHeight="1"/>
    <row r="9" spans="1:22" ht="45" customHeight="1">
      <c r="A9" s="173"/>
      <c r="B9" s="174"/>
      <c r="C9" s="175"/>
      <c r="D9" s="176"/>
      <c r="E9" s="175"/>
      <c r="F9" s="177" t="s">
        <v>220</v>
      </c>
      <c r="G9" s="177" t="s">
        <v>221</v>
      </c>
      <c r="H9" s="177" t="s">
        <v>222</v>
      </c>
      <c r="I9" s="177" t="s">
        <v>223</v>
      </c>
      <c r="J9" s="177" t="s">
        <v>224</v>
      </c>
      <c r="K9" s="177" t="s">
        <v>225</v>
      </c>
      <c r="L9" s="177" t="s">
        <v>226</v>
      </c>
      <c r="M9" s="177"/>
      <c r="N9" s="177"/>
      <c r="O9" s="177"/>
      <c r="P9" s="177"/>
      <c r="Q9" s="177"/>
      <c r="R9" s="177"/>
      <c r="S9" s="177"/>
      <c r="T9" s="178"/>
      <c r="U9" s="115"/>
      <c r="V9" s="103"/>
    </row>
    <row r="10" spans="1:22" ht="13.5" customHeight="1">
      <c r="A10" s="116" t="s">
        <v>228</v>
      </c>
      <c r="B10" s="124" t="s">
        <v>229</v>
      </c>
      <c r="C10" s="125"/>
      <c r="D10" s="126"/>
      <c r="E10" s="179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1"/>
    </row>
    <row r="11" spans="1:22" ht="36" customHeight="1">
      <c r="A11" s="123"/>
      <c r="B11" s="375" t="s">
        <v>87</v>
      </c>
      <c r="C11" s="376"/>
      <c r="D11" s="377"/>
      <c r="E11" s="120"/>
      <c r="F11" s="180" t="s">
        <v>230</v>
      </c>
      <c r="G11" s="180" t="s">
        <v>230</v>
      </c>
      <c r="H11" s="180" t="s">
        <v>230</v>
      </c>
      <c r="I11" s="180" t="s">
        <v>230</v>
      </c>
      <c r="J11" s="180" t="s">
        <v>230</v>
      </c>
      <c r="K11" s="180" t="s">
        <v>230</v>
      </c>
      <c r="L11" s="180" t="s">
        <v>230</v>
      </c>
      <c r="M11" s="180"/>
      <c r="N11" s="180"/>
      <c r="O11" s="180"/>
      <c r="P11" s="180"/>
      <c r="Q11" s="180"/>
      <c r="R11" s="180"/>
      <c r="S11" s="180"/>
      <c r="T11" s="181"/>
      <c r="V11" s="103"/>
    </row>
    <row r="12" spans="1:22" ht="13.5" customHeight="1">
      <c r="A12" s="123"/>
      <c r="B12" s="124"/>
      <c r="C12" s="125"/>
      <c r="D12" s="126"/>
      <c r="E12" s="12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1"/>
    </row>
    <row r="13" spans="1:22" ht="13.5" customHeight="1">
      <c r="A13" s="123"/>
      <c r="B13" s="124"/>
      <c r="C13" s="125"/>
      <c r="D13" s="126"/>
      <c r="E13" s="129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1"/>
      <c r="V13" s="103"/>
    </row>
    <row r="14" spans="1:22" ht="13.5" customHeight="1">
      <c r="A14" s="123"/>
      <c r="B14" s="124" t="s">
        <v>231</v>
      </c>
      <c r="C14" s="125"/>
      <c r="D14" s="126"/>
      <c r="E14" s="13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1"/>
    </row>
    <row r="15" spans="1:22" ht="24.95" customHeight="1">
      <c r="A15" s="123"/>
      <c r="B15" s="375" t="s">
        <v>1202</v>
      </c>
      <c r="C15" s="376"/>
      <c r="D15" s="377"/>
      <c r="E15" s="130"/>
      <c r="F15" s="180" t="s">
        <v>230</v>
      </c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1"/>
    </row>
    <row r="16" spans="1:22" ht="24.95" customHeight="1">
      <c r="A16" s="123"/>
      <c r="B16" s="375" t="s">
        <v>1203</v>
      </c>
      <c r="C16" s="376"/>
      <c r="D16" s="377"/>
      <c r="E16" s="130"/>
      <c r="F16" s="180"/>
      <c r="G16" s="180" t="s">
        <v>230</v>
      </c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1"/>
    </row>
    <row r="17" spans="1:21" ht="24.95" customHeight="1">
      <c r="A17" s="123"/>
      <c r="B17" s="375" t="s">
        <v>1204</v>
      </c>
      <c r="C17" s="376"/>
      <c r="D17" s="377"/>
      <c r="E17" s="130"/>
      <c r="F17" s="180"/>
      <c r="G17" s="180"/>
      <c r="H17" s="180" t="s">
        <v>230</v>
      </c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1"/>
      <c r="U17" s="182"/>
    </row>
    <row r="18" spans="1:21" ht="24.95" customHeight="1">
      <c r="A18" s="123"/>
      <c r="B18" s="375" t="s">
        <v>1205</v>
      </c>
      <c r="C18" s="376"/>
      <c r="D18" s="377"/>
      <c r="E18" s="130"/>
      <c r="F18" s="180"/>
      <c r="G18" s="180"/>
      <c r="H18" s="180"/>
      <c r="I18" s="180" t="s">
        <v>230</v>
      </c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1"/>
      <c r="U18" s="182"/>
    </row>
    <row r="19" spans="1:21" ht="24.95" customHeight="1">
      <c r="A19" s="123"/>
      <c r="B19" s="337" t="s">
        <v>1206</v>
      </c>
      <c r="C19" s="338"/>
      <c r="D19" s="385"/>
      <c r="E19" s="359"/>
      <c r="F19" s="180"/>
      <c r="G19" s="180"/>
      <c r="H19" s="180"/>
      <c r="I19" s="180"/>
      <c r="J19" s="180" t="s">
        <v>230</v>
      </c>
      <c r="K19" s="180"/>
      <c r="L19" s="180"/>
      <c r="M19" s="180"/>
      <c r="N19" s="180"/>
      <c r="O19" s="180"/>
      <c r="P19" s="180"/>
      <c r="Q19" s="180"/>
      <c r="R19" s="180"/>
      <c r="S19" s="180"/>
      <c r="T19" s="181"/>
    </row>
    <row r="20" spans="1:21" ht="24.95" customHeight="1">
      <c r="A20" s="123"/>
      <c r="B20" s="375" t="s">
        <v>1207</v>
      </c>
      <c r="C20" s="376"/>
      <c r="D20" s="377"/>
      <c r="E20" s="130"/>
      <c r="F20" s="180"/>
      <c r="G20" s="180"/>
      <c r="H20" s="180"/>
      <c r="I20" s="180"/>
      <c r="J20" s="180"/>
      <c r="K20" s="180" t="s">
        <v>230</v>
      </c>
      <c r="L20" s="180"/>
      <c r="M20" s="180"/>
      <c r="N20" s="180"/>
      <c r="O20" s="180"/>
      <c r="P20" s="180"/>
      <c r="Q20" s="180"/>
      <c r="R20" s="180"/>
      <c r="S20" s="180"/>
      <c r="T20" s="181"/>
    </row>
    <row r="21" spans="1:21" ht="24.95" customHeight="1">
      <c r="A21" s="123"/>
      <c r="B21" s="375" t="s">
        <v>1208</v>
      </c>
      <c r="C21" s="376"/>
      <c r="D21" s="377"/>
      <c r="E21" s="130"/>
      <c r="F21" s="180"/>
      <c r="G21" s="180"/>
      <c r="H21" s="180"/>
      <c r="I21" s="180"/>
      <c r="J21" s="180"/>
      <c r="K21" s="180"/>
      <c r="L21" s="180" t="s">
        <v>230</v>
      </c>
      <c r="M21" s="180"/>
      <c r="N21" s="180"/>
      <c r="O21" s="180"/>
      <c r="P21" s="180"/>
      <c r="Q21" s="180"/>
      <c r="R21" s="180"/>
      <c r="S21" s="180"/>
      <c r="T21" s="181"/>
    </row>
    <row r="22" spans="1:21" ht="13.5" customHeight="1">
      <c r="A22" s="123"/>
      <c r="B22" s="124"/>
      <c r="C22" s="125"/>
      <c r="D22" s="126"/>
      <c r="E22" s="13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1"/>
    </row>
    <row r="23" spans="1:21" ht="13.5" customHeight="1">
      <c r="A23" s="123"/>
      <c r="B23" s="124"/>
      <c r="C23" s="125"/>
      <c r="D23" s="126"/>
      <c r="E23" s="13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1"/>
    </row>
    <row r="24" spans="1:21" ht="13.5" customHeight="1">
      <c r="A24" s="123"/>
      <c r="B24" s="124"/>
      <c r="C24" s="125"/>
      <c r="D24" s="126"/>
      <c r="E24" s="13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1"/>
    </row>
    <row r="25" spans="1:21" ht="13.5" customHeight="1">
      <c r="A25" s="123"/>
      <c r="B25" s="124"/>
      <c r="C25" s="125"/>
      <c r="D25" s="126"/>
      <c r="E25" s="13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1"/>
    </row>
    <row r="26" spans="1:21" ht="13.5" customHeight="1">
      <c r="A26" s="123"/>
      <c r="B26" s="124"/>
      <c r="C26" s="125"/>
      <c r="D26" s="126"/>
      <c r="E26" s="13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1"/>
    </row>
    <row r="27" spans="1:21" ht="13.5" customHeight="1">
      <c r="A27" s="123"/>
      <c r="B27" s="124"/>
      <c r="C27" s="125"/>
      <c r="D27" s="126"/>
      <c r="E27" s="13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1"/>
    </row>
    <row r="28" spans="1:21" ht="13.5" customHeight="1">
      <c r="A28" s="123"/>
      <c r="B28" s="124"/>
      <c r="C28" s="125"/>
      <c r="D28" s="126"/>
      <c r="E28" s="13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1"/>
    </row>
    <row r="29" spans="1:21" ht="13.5" customHeight="1">
      <c r="A29" s="123"/>
      <c r="B29" s="124"/>
      <c r="C29" s="125"/>
      <c r="D29" s="126"/>
      <c r="E29" s="13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1"/>
    </row>
    <row r="30" spans="1:21" ht="13.5" customHeight="1">
      <c r="A30" s="123"/>
      <c r="B30" s="132"/>
      <c r="C30" s="133"/>
      <c r="D30" s="134"/>
      <c r="E30" s="135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4"/>
    </row>
    <row r="31" spans="1:21" ht="13.5" customHeight="1">
      <c r="A31" s="138" t="s">
        <v>232</v>
      </c>
      <c r="B31" s="139" t="s">
        <v>232</v>
      </c>
      <c r="C31" s="140"/>
      <c r="D31" s="141"/>
      <c r="E31" s="142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6"/>
    </row>
    <row r="32" spans="1:21" ht="23.1" customHeight="1">
      <c r="A32" s="143"/>
      <c r="B32" s="375" t="s">
        <v>1209</v>
      </c>
      <c r="C32" s="376"/>
      <c r="D32" s="377"/>
      <c r="E32" s="147"/>
      <c r="F32" s="180" t="s">
        <v>230</v>
      </c>
      <c r="G32" s="180"/>
      <c r="H32" s="180"/>
      <c r="I32" s="180"/>
      <c r="J32" s="180" t="s">
        <v>230</v>
      </c>
      <c r="K32" s="180"/>
      <c r="L32" s="180" t="s">
        <v>230</v>
      </c>
      <c r="M32" s="180"/>
      <c r="N32" s="180"/>
      <c r="O32" s="180"/>
      <c r="P32" s="180"/>
      <c r="Q32" s="180"/>
      <c r="R32" s="180"/>
      <c r="S32" s="180"/>
      <c r="T32" s="181"/>
    </row>
    <row r="33" spans="1:20" ht="23.1" customHeight="1">
      <c r="A33" s="143"/>
      <c r="B33" s="375" t="s">
        <v>1200</v>
      </c>
      <c r="C33" s="387"/>
      <c r="D33" s="377"/>
      <c r="E33" s="149"/>
      <c r="F33" s="180"/>
      <c r="G33" s="180" t="s">
        <v>230</v>
      </c>
      <c r="H33" s="180" t="s">
        <v>230</v>
      </c>
      <c r="I33" s="180"/>
      <c r="J33" s="180"/>
      <c r="K33" s="180" t="s">
        <v>230</v>
      </c>
      <c r="L33" s="180"/>
      <c r="M33" s="180"/>
      <c r="N33" s="180"/>
      <c r="O33" s="180"/>
      <c r="P33" s="180"/>
      <c r="Q33" s="180"/>
      <c r="R33" s="180"/>
      <c r="S33" s="180"/>
      <c r="T33" s="181"/>
    </row>
    <row r="34" spans="1:20" ht="23.1" customHeight="1">
      <c r="A34" s="143"/>
      <c r="B34" s="375" t="s">
        <v>1210</v>
      </c>
      <c r="C34" s="387"/>
      <c r="D34" s="377"/>
      <c r="E34" s="149"/>
      <c r="F34" s="180"/>
      <c r="G34" s="180"/>
      <c r="H34" s="180"/>
      <c r="I34" s="180" t="s">
        <v>230</v>
      </c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1"/>
    </row>
    <row r="35" spans="1:20" ht="13.5" customHeight="1">
      <c r="A35" s="143"/>
      <c r="B35" s="144"/>
      <c r="C35" s="187"/>
      <c r="D35" s="146"/>
      <c r="E35" s="149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1"/>
    </row>
    <row r="36" spans="1:20" ht="13.5" customHeight="1">
      <c r="A36" s="143"/>
      <c r="B36" s="144"/>
      <c r="C36" s="187"/>
      <c r="D36" s="146"/>
      <c r="E36" s="149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1"/>
    </row>
    <row r="37" spans="1:20" ht="13.5" customHeight="1">
      <c r="A37" s="143"/>
      <c r="B37" s="144"/>
      <c r="C37" s="187"/>
      <c r="D37" s="146"/>
      <c r="E37" s="149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1"/>
    </row>
    <row r="38" spans="1:20" ht="13.5" customHeight="1">
      <c r="A38" s="143"/>
      <c r="B38" s="150"/>
      <c r="C38" s="151"/>
      <c r="D38" s="152"/>
      <c r="E38" s="153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9"/>
    </row>
    <row r="39" spans="1:20" ht="13.5" customHeight="1">
      <c r="A39" s="138" t="s">
        <v>204</v>
      </c>
      <c r="B39" s="352" t="s">
        <v>233</v>
      </c>
      <c r="C39" s="352"/>
      <c r="D39" s="352"/>
      <c r="E39" s="156"/>
      <c r="F39" s="190" t="s">
        <v>198</v>
      </c>
      <c r="G39" s="190" t="s">
        <v>199</v>
      </c>
      <c r="H39" s="190" t="s">
        <v>199</v>
      </c>
      <c r="I39" s="190" t="s">
        <v>200</v>
      </c>
      <c r="J39" s="190" t="s">
        <v>198</v>
      </c>
      <c r="K39" s="190" t="s">
        <v>200</v>
      </c>
      <c r="L39" s="190" t="s">
        <v>198</v>
      </c>
      <c r="M39" s="190"/>
      <c r="N39" s="190"/>
      <c r="O39" s="190"/>
      <c r="P39" s="190"/>
      <c r="Q39" s="190"/>
      <c r="R39" s="190"/>
      <c r="S39" s="190"/>
      <c r="T39" s="191"/>
    </row>
    <row r="40" spans="1:20" ht="13.5" customHeight="1">
      <c r="A40" s="143"/>
      <c r="B40" s="353" t="s">
        <v>234</v>
      </c>
      <c r="C40" s="353"/>
      <c r="D40" s="353"/>
      <c r="E40" s="159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3"/>
    </row>
    <row r="41" spans="1:20" ht="13.5" customHeight="1">
      <c r="A41" s="143"/>
      <c r="B41" s="354" t="s">
        <v>235</v>
      </c>
      <c r="C41" s="354"/>
      <c r="D41" s="354"/>
      <c r="E41" s="162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4"/>
    </row>
    <row r="42" spans="1:20" ht="80.099999999999994" customHeight="1">
      <c r="A42" s="165"/>
      <c r="B42" s="355" t="s">
        <v>236</v>
      </c>
      <c r="C42" s="355"/>
      <c r="D42" s="355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7"/>
    </row>
    <row r="43" spans="1:20" ht="12" customHeight="1">
      <c r="A43" s="99"/>
      <c r="B43" s="98"/>
      <c r="C43" s="100"/>
      <c r="D43" s="98"/>
    </row>
    <row r="44" spans="1:20" ht="30.95" customHeight="1">
      <c r="A44" s="384" t="s">
        <v>262</v>
      </c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</row>
    <row r="45" spans="1:20" ht="27.95" customHeight="1">
      <c r="A45" s="86" t="s">
        <v>238</v>
      </c>
      <c r="B45" s="382" t="s">
        <v>239</v>
      </c>
      <c r="C45" s="382"/>
      <c r="D45" s="382"/>
      <c r="E45" s="382"/>
      <c r="F45" s="382"/>
      <c r="G45" s="382"/>
      <c r="H45" s="382"/>
      <c r="I45" s="382"/>
      <c r="J45" s="382"/>
      <c r="K45" s="383" t="s">
        <v>240</v>
      </c>
      <c r="L45" s="383"/>
      <c r="M45" s="383"/>
      <c r="N45" s="383"/>
      <c r="O45" s="383"/>
      <c r="P45" s="383"/>
      <c r="Q45" s="383"/>
      <c r="R45" s="383"/>
      <c r="S45" s="383"/>
      <c r="T45" s="383"/>
    </row>
    <row r="46" spans="1:20" ht="33.950000000000003" customHeight="1">
      <c r="A46" s="169" t="s">
        <v>263</v>
      </c>
      <c r="B46" s="380" t="s">
        <v>264</v>
      </c>
      <c r="C46" s="380"/>
      <c r="D46" s="380"/>
      <c r="E46" s="380"/>
      <c r="F46" s="380"/>
      <c r="G46" s="380"/>
      <c r="H46" s="380"/>
      <c r="I46" s="380"/>
      <c r="J46" s="380"/>
      <c r="K46" s="381" t="s">
        <v>265</v>
      </c>
      <c r="L46" s="381"/>
      <c r="M46" s="381"/>
      <c r="N46" s="381"/>
      <c r="O46" s="381"/>
      <c r="P46" s="381"/>
      <c r="Q46" s="381"/>
      <c r="R46" s="381"/>
      <c r="S46" s="381"/>
      <c r="T46" s="381"/>
    </row>
    <row r="47" spans="1:20" ht="33.950000000000003" customHeight="1">
      <c r="A47" s="170" t="s">
        <v>266</v>
      </c>
      <c r="B47" s="378" t="s">
        <v>264</v>
      </c>
      <c r="C47" s="378"/>
      <c r="D47" s="378"/>
      <c r="E47" s="378"/>
      <c r="F47" s="378"/>
      <c r="G47" s="378"/>
      <c r="H47" s="378"/>
      <c r="I47" s="378"/>
      <c r="J47" s="378"/>
      <c r="K47" s="379" t="s">
        <v>267</v>
      </c>
      <c r="L47" s="379"/>
      <c r="M47" s="379"/>
      <c r="N47" s="379"/>
      <c r="O47" s="379"/>
      <c r="P47" s="379"/>
      <c r="Q47" s="379"/>
      <c r="R47" s="379"/>
      <c r="S47" s="379"/>
      <c r="T47" s="379"/>
    </row>
    <row r="48" spans="1:20" ht="33.950000000000003" customHeight="1">
      <c r="A48" s="169" t="s">
        <v>268</v>
      </c>
      <c r="B48" s="380" t="s">
        <v>264</v>
      </c>
      <c r="C48" s="380"/>
      <c r="D48" s="380"/>
      <c r="E48" s="380"/>
      <c r="F48" s="380"/>
      <c r="G48" s="380"/>
      <c r="H48" s="380"/>
      <c r="I48" s="380"/>
      <c r="J48" s="380"/>
      <c r="K48" s="381" t="s">
        <v>269</v>
      </c>
      <c r="L48" s="381"/>
      <c r="M48" s="381"/>
      <c r="N48" s="381"/>
      <c r="O48" s="381"/>
      <c r="P48" s="381"/>
      <c r="Q48" s="381"/>
      <c r="R48" s="381"/>
      <c r="S48" s="381"/>
      <c r="T48" s="381"/>
    </row>
    <row r="49" spans="1:20" ht="33.950000000000003" customHeight="1">
      <c r="A49" s="170" t="s">
        <v>270</v>
      </c>
      <c r="B49" s="378" t="s">
        <v>271</v>
      </c>
      <c r="C49" s="378"/>
      <c r="D49" s="378"/>
      <c r="E49" s="378"/>
      <c r="F49" s="378"/>
      <c r="G49" s="378"/>
      <c r="H49" s="378"/>
      <c r="I49" s="378"/>
      <c r="J49" s="378"/>
      <c r="K49" s="379" t="s">
        <v>272</v>
      </c>
      <c r="L49" s="379"/>
      <c r="M49" s="379"/>
      <c r="N49" s="379"/>
      <c r="O49" s="379"/>
      <c r="P49" s="379"/>
      <c r="Q49" s="379"/>
      <c r="R49" s="379"/>
      <c r="S49" s="379"/>
      <c r="T49" s="379"/>
    </row>
    <row r="50" spans="1:20" ht="33.950000000000003" customHeight="1">
      <c r="A50" s="169" t="s">
        <v>273</v>
      </c>
      <c r="B50" s="380" t="s">
        <v>274</v>
      </c>
      <c r="C50" s="380"/>
      <c r="D50" s="380"/>
      <c r="E50" s="380"/>
      <c r="F50" s="380"/>
      <c r="G50" s="380"/>
      <c r="H50" s="380"/>
      <c r="I50" s="380"/>
      <c r="J50" s="380"/>
      <c r="K50" s="381" t="s">
        <v>275</v>
      </c>
      <c r="L50" s="381"/>
      <c r="M50" s="381"/>
      <c r="N50" s="381"/>
      <c r="O50" s="381"/>
      <c r="P50" s="381"/>
      <c r="Q50" s="381"/>
      <c r="R50" s="381"/>
      <c r="S50" s="381"/>
      <c r="T50" s="381"/>
    </row>
    <row r="51" spans="1:20" ht="33.950000000000003" customHeight="1">
      <c r="A51" s="170" t="s">
        <v>276</v>
      </c>
      <c r="B51" s="378" t="s">
        <v>277</v>
      </c>
      <c r="C51" s="378"/>
      <c r="D51" s="378"/>
      <c r="E51" s="378"/>
      <c r="F51" s="378"/>
      <c r="G51" s="378"/>
      <c r="H51" s="378"/>
      <c r="I51" s="378"/>
      <c r="J51" s="378"/>
      <c r="K51" s="379" t="s">
        <v>278</v>
      </c>
      <c r="L51" s="379"/>
      <c r="M51" s="379"/>
      <c r="N51" s="379"/>
      <c r="O51" s="379"/>
      <c r="P51" s="379"/>
      <c r="Q51" s="379"/>
      <c r="R51" s="379"/>
      <c r="S51" s="379"/>
      <c r="T51" s="379"/>
    </row>
    <row r="52" spans="1:20" ht="33.950000000000003" customHeight="1">
      <c r="A52" s="169" t="s">
        <v>279</v>
      </c>
      <c r="B52" s="380" t="s">
        <v>280</v>
      </c>
      <c r="C52" s="380"/>
      <c r="D52" s="380"/>
      <c r="E52" s="380"/>
      <c r="F52" s="380"/>
      <c r="G52" s="380"/>
      <c r="H52" s="380"/>
      <c r="I52" s="380"/>
      <c r="J52" s="380"/>
      <c r="K52" s="381" t="s">
        <v>281</v>
      </c>
      <c r="L52" s="381"/>
      <c r="M52" s="381"/>
      <c r="N52" s="381"/>
      <c r="O52" s="381"/>
      <c r="P52" s="381"/>
      <c r="Q52" s="381"/>
      <c r="R52" s="381"/>
      <c r="S52" s="381"/>
      <c r="T52" s="381"/>
    </row>
  </sheetData>
  <mergeCells count="55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9:D39"/>
    <mergeCell ref="B40:D40"/>
    <mergeCell ref="B41:D41"/>
    <mergeCell ref="B42:D42"/>
    <mergeCell ref="A44:T44"/>
    <mergeCell ref="B49:J49"/>
    <mergeCell ref="K49:T49"/>
    <mergeCell ref="B50:J50"/>
    <mergeCell ref="K50:T50"/>
    <mergeCell ref="B45:J45"/>
    <mergeCell ref="K45:T45"/>
    <mergeCell ref="B46:J46"/>
    <mergeCell ref="K46:T46"/>
    <mergeCell ref="B47:J47"/>
    <mergeCell ref="K47:T47"/>
    <mergeCell ref="B51:J51"/>
    <mergeCell ref="K51:T51"/>
    <mergeCell ref="B52:J52"/>
    <mergeCell ref="K52:T52"/>
    <mergeCell ref="B11:D11"/>
    <mergeCell ref="B15:D15"/>
    <mergeCell ref="B16:D16"/>
    <mergeCell ref="B17:D17"/>
    <mergeCell ref="B18:D18"/>
    <mergeCell ref="B20:D20"/>
    <mergeCell ref="B21:D21"/>
    <mergeCell ref="B32:D32"/>
    <mergeCell ref="B33:D33"/>
    <mergeCell ref="B34:D34"/>
    <mergeCell ref="B48:J48"/>
    <mergeCell ref="K48:T48"/>
  </mergeCells>
  <dataValidations count="3">
    <dataValidation type="list" allowBlank="1" showErrorMessage="1" sqref="F39:T39" xr:uid="{00000000-0002-0000-0500-000000000000}">
      <formula1>"N,A,B"</formula1>
      <formula2>0</formula2>
    </dataValidation>
    <dataValidation type="list" allowBlank="1" showErrorMessage="1" sqref="F40:T40" xr:uid="{00000000-0002-0000-0500-000001000000}">
      <formula1>"P,F"</formula1>
      <formula2>0</formula2>
    </dataValidation>
    <dataValidation type="list" allowBlank="1" showErrorMessage="1" sqref="F10:T38" xr:uid="{00000000-0002-0000-0500-000002000000}">
      <formula1>"O,"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W52"/>
  <sheetViews>
    <sheetView showGridLines="0" workbookViewId="0">
      <pane ySplit="9" topLeftCell="A10" activePane="bottomLeft" state="frozen"/>
      <selection pane="bottomLeft"/>
    </sheetView>
  </sheetViews>
  <sheetFormatPr defaultColWidth="10.140625" defaultRowHeight="12.75"/>
  <cols>
    <col min="1" max="1" width="7.7109375" style="194" customWidth="1"/>
    <col min="2" max="2" width="15.140625" style="195" customWidth="1"/>
    <col min="3" max="3" width="12.28515625" style="194" customWidth="1"/>
    <col min="4" max="4" width="12.85546875" style="196" customWidth="1"/>
    <col min="5" max="5" width="2.140625" style="194" hidden="1" customWidth="1"/>
    <col min="6" max="21" width="3.28515625" style="194" customWidth="1"/>
    <col min="22" max="257" width="10.140625" style="194"/>
  </cols>
  <sheetData>
    <row r="1" spans="1:23" ht="13.5" customHeight="1"/>
    <row r="2" spans="1:23" ht="13.5" customHeight="1">
      <c r="A2" s="388" t="s">
        <v>212</v>
      </c>
      <c r="B2" s="388"/>
      <c r="C2" s="370" t="str">
        <f>Functions!E13</f>
        <v>UT-003</v>
      </c>
      <c r="D2" s="370"/>
      <c r="F2" s="389" t="s">
        <v>72</v>
      </c>
      <c r="G2" s="389"/>
      <c r="H2" s="389"/>
      <c r="I2" s="389"/>
      <c r="J2" s="389"/>
      <c r="K2" s="389"/>
      <c r="L2" s="390" t="str">
        <f>Functions!D13</f>
        <v>canSubmitSnapshot</v>
      </c>
      <c r="M2" s="390"/>
      <c r="N2" s="390"/>
      <c r="O2" s="390"/>
      <c r="P2" s="390"/>
      <c r="Q2" s="390"/>
      <c r="R2" s="390"/>
      <c r="S2" s="390"/>
      <c r="T2" s="390"/>
    </row>
    <row r="3" spans="1:23" ht="13.5" customHeight="1">
      <c r="A3" s="405" t="s">
        <v>213</v>
      </c>
      <c r="B3" s="405"/>
      <c r="C3" s="409" t="s">
        <v>1374</v>
      </c>
      <c r="D3" s="409"/>
      <c r="E3" s="409"/>
      <c r="F3" s="407" t="s">
        <v>214</v>
      </c>
      <c r="G3" s="407"/>
      <c r="H3" s="407"/>
      <c r="I3" s="407"/>
      <c r="J3" s="407"/>
      <c r="K3" s="407"/>
      <c r="L3" s="410" t="s">
        <v>1375</v>
      </c>
      <c r="M3" s="410"/>
      <c r="N3" s="410"/>
      <c r="O3" s="197"/>
      <c r="P3" s="197"/>
      <c r="Q3" s="197"/>
      <c r="R3" s="197"/>
      <c r="S3" s="197"/>
      <c r="T3" s="198"/>
    </row>
    <row r="4" spans="1:23" ht="13.5" customHeight="1">
      <c r="A4" s="405" t="s">
        <v>215</v>
      </c>
      <c r="B4" s="405"/>
      <c r="C4" s="406">
        <v>16</v>
      </c>
      <c r="D4" s="406"/>
      <c r="E4" s="199"/>
      <c r="F4" s="407" t="s">
        <v>216</v>
      </c>
      <c r="G4" s="407"/>
      <c r="H4" s="407"/>
      <c r="I4" s="407"/>
      <c r="J4" s="407"/>
      <c r="K4" s="407"/>
      <c r="L4" s="408" t="str">
        <f>IF(OR(Functions!E6="N/A",C4=""),"N/A",MAX(0,ROUNDUP(C4*Functions!E6/1000,0)-O7))</f>
        <v>N/A</v>
      </c>
      <c r="M4" s="408"/>
      <c r="N4" s="408"/>
      <c r="O4" s="408"/>
      <c r="P4" s="408"/>
      <c r="Q4" s="408"/>
      <c r="R4" s="408"/>
      <c r="S4" s="408"/>
      <c r="T4" s="408"/>
      <c r="V4" s="200"/>
    </row>
    <row r="5" spans="1:23" ht="13.5" customHeight="1">
      <c r="A5" s="405" t="s">
        <v>217</v>
      </c>
      <c r="B5" s="405"/>
      <c r="C5" s="386" t="s">
        <v>282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3" ht="13.5" customHeight="1">
      <c r="A6" s="401" t="s">
        <v>195</v>
      </c>
      <c r="B6" s="401"/>
      <c r="C6" s="402" t="s">
        <v>196</v>
      </c>
      <c r="D6" s="402"/>
      <c r="E6" s="402"/>
      <c r="F6" s="402" t="s">
        <v>197</v>
      </c>
      <c r="G6" s="402"/>
      <c r="H6" s="402"/>
      <c r="I6" s="402"/>
      <c r="J6" s="402"/>
      <c r="K6" s="402"/>
      <c r="L6" s="403" t="s">
        <v>219</v>
      </c>
      <c r="M6" s="403"/>
      <c r="N6" s="403"/>
      <c r="O6" s="404" t="s">
        <v>201</v>
      </c>
      <c r="P6" s="404"/>
      <c r="Q6" s="404"/>
      <c r="R6" s="404"/>
      <c r="S6" s="404"/>
      <c r="T6" s="404"/>
      <c r="V6" s="200"/>
    </row>
    <row r="7" spans="1:23" ht="13.5" customHeight="1">
      <c r="A7" s="397">
        <f>COUNTIF(F40:T40,"P")</f>
        <v>0</v>
      </c>
      <c r="B7" s="397"/>
      <c r="C7" s="398">
        <f>COUNTIF(F40:T40,"F")</f>
        <v>0</v>
      </c>
      <c r="D7" s="398"/>
      <c r="E7" s="398"/>
      <c r="F7" s="398">
        <f>MAX(0,O7-A7-C7)</f>
        <v>7</v>
      </c>
      <c r="G7" s="398"/>
      <c r="H7" s="398"/>
      <c r="I7" s="398"/>
      <c r="J7" s="398"/>
      <c r="K7" s="398"/>
      <c r="L7" s="201">
        <f>COUNTIF(F39:T39,"N")</f>
        <v>3</v>
      </c>
      <c r="M7" s="201">
        <f>COUNTIF(F39:T39,"A")</f>
        <v>3</v>
      </c>
      <c r="N7" s="201">
        <f>COUNTIF(F39:T39,"B")</f>
        <v>1</v>
      </c>
      <c r="O7" s="399">
        <f>COUNTA(F9:T9)</f>
        <v>7</v>
      </c>
      <c r="P7" s="399"/>
      <c r="Q7" s="399"/>
      <c r="R7" s="399"/>
      <c r="S7" s="399"/>
      <c r="T7" s="399"/>
      <c r="U7" s="202"/>
    </row>
    <row r="8" spans="1:23" ht="12" customHeight="1"/>
    <row r="9" spans="1:23" ht="46.5" customHeight="1">
      <c r="A9" s="203"/>
      <c r="B9" s="204"/>
      <c r="C9" s="205"/>
      <c r="D9" s="206"/>
      <c r="E9" s="205"/>
      <c r="F9" s="207" t="s">
        <v>220</v>
      </c>
      <c r="G9" s="207" t="s">
        <v>221</v>
      </c>
      <c r="H9" s="207" t="s">
        <v>222</v>
      </c>
      <c r="I9" s="207" t="s">
        <v>223</v>
      </c>
      <c r="J9" s="207" t="s">
        <v>224</v>
      </c>
      <c r="K9" s="207" t="s">
        <v>225</v>
      </c>
      <c r="L9" s="207" t="s">
        <v>226</v>
      </c>
      <c r="M9" s="207"/>
      <c r="N9" s="207"/>
      <c r="O9" s="207"/>
      <c r="P9" s="207"/>
      <c r="Q9" s="207"/>
      <c r="R9" s="207"/>
      <c r="S9" s="207"/>
      <c r="T9" s="208"/>
      <c r="U9" s="209"/>
      <c r="V9" s="200"/>
    </row>
    <row r="10" spans="1:23" ht="13.5" customHeight="1">
      <c r="A10" s="210" t="s">
        <v>228</v>
      </c>
      <c r="B10" s="211" t="s">
        <v>229</v>
      </c>
      <c r="C10" s="212"/>
      <c r="D10" s="213"/>
      <c r="E10" s="214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</row>
    <row r="11" spans="1:23" ht="21.95" customHeight="1">
      <c r="A11" s="217"/>
      <c r="B11" s="375" t="s">
        <v>91</v>
      </c>
      <c r="C11" s="376"/>
      <c r="D11" s="377"/>
      <c r="E11" s="218"/>
      <c r="F11" s="215" t="s">
        <v>230</v>
      </c>
      <c r="G11" s="215" t="s">
        <v>230</v>
      </c>
      <c r="H11" s="215" t="s">
        <v>230</v>
      </c>
      <c r="I11" s="215" t="s">
        <v>230</v>
      </c>
      <c r="J11" s="215" t="s">
        <v>230</v>
      </c>
      <c r="K11" s="215" t="s">
        <v>230</v>
      </c>
      <c r="L11" s="215" t="s">
        <v>230</v>
      </c>
      <c r="M11" s="215"/>
      <c r="N11" s="215"/>
      <c r="O11" s="215"/>
      <c r="P11" s="215"/>
      <c r="Q11" s="215"/>
      <c r="R11" s="215"/>
      <c r="S11" s="215"/>
      <c r="T11" s="216"/>
      <c r="V11" s="200"/>
    </row>
    <row r="12" spans="1:23" ht="13.5" customHeight="1">
      <c r="A12" s="217"/>
      <c r="B12" s="211"/>
      <c r="C12" s="212"/>
      <c r="D12" s="213"/>
      <c r="E12" s="218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</row>
    <row r="13" spans="1:23" ht="13.5" customHeight="1">
      <c r="A13" s="217"/>
      <c r="B13" s="211"/>
      <c r="C13" s="212"/>
      <c r="D13" s="213"/>
      <c r="E13" s="219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6"/>
    </row>
    <row r="14" spans="1:23" ht="13.5" customHeight="1">
      <c r="A14" s="217"/>
      <c r="B14" s="211" t="s">
        <v>231</v>
      </c>
      <c r="C14" s="212"/>
      <c r="D14" s="213"/>
      <c r="E14" s="220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6"/>
    </row>
    <row r="15" spans="1:23" ht="24.95" customHeight="1">
      <c r="A15" s="217"/>
      <c r="B15" s="375" t="s">
        <v>1211</v>
      </c>
      <c r="C15" s="376"/>
      <c r="D15" s="377"/>
      <c r="E15" s="220"/>
      <c r="F15" s="215" t="s">
        <v>230</v>
      </c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W15" s="200"/>
    </row>
    <row r="16" spans="1:23" ht="24.95" customHeight="1">
      <c r="A16" s="217"/>
      <c r="B16" s="375" t="s">
        <v>1212</v>
      </c>
      <c r="C16" s="376"/>
      <c r="D16" s="377"/>
      <c r="E16" s="220"/>
      <c r="F16" s="215"/>
      <c r="G16" s="215" t="s">
        <v>230</v>
      </c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6"/>
    </row>
    <row r="17" spans="1:21" ht="24.95" customHeight="1">
      <c r="A17" s="217"/>
      <c r="B17" s="375" t="s">
        <v>1213</v>
      </c>
      <c r="C17" s="376"/>
      <c r="D17" s="377"/>
      <c r="E17" s="220"/>
      <c r="F17" s="215"/>
      <c r="G17" s="215"/>
      <c r="H17" s="215" t="s">
        <v>230</v>
      </c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6"/>
      <c r="U17" s="221"/>
    </row>
    <row r="18" spans="1:21" ht="24.95" customHeight="1">
      <c r="A18" s="217"/>
      <c r="B18" s="375" t="s">
        <v>1214</v>
      </c>
      <c r="C18" s="376"/>
      <c r="D18" s="377"/>
      <c r="E18" s="220"/>
      <c r="F18" s="215"/>
      <c r="G18" s="215"/>
      <c r="H18" s="215"/>
      <c r="I18" s="215" t="s">
        <v>230</v>
      </c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6"/>
      <c r="U18" s="221"/>
    </row>
    <row r="19" spans="1:21" ht="24.95" customHeight="1">
      <c r="A19" s="217"/>
      <c r="B19" s="337" t="s">
        <v>1215</v>
      </c>
      <c r="C19" s="338"/>
      <c r="D19" s="385"/>
      <c r="E19" s="400"/>
      <c r="F19" s="215"/>
      <c r="G19" s="215"/>
      <c r="H19" s="215"/>
      <c r="I19" s="215"/>
      <c r="J19" s="215" t="s">
        <v>230</v>
      </c>
      <c r="K19" s="215"/>
      <c r="L19" s="215"/>
      <c r="M19" s="215"/>
      <c r="N19" s="215"/>
      <c r="O19" s="215"/>
      <c r="P19" s="215"/>
      <c r="Q19" s="215"/>
      <c r="R19" s="215"/>
      <c r="S19" s="215"/>
      <c r="T19" s="216"/>
    </row>
    <row r="20" spans="1:21" ht="24.95" customHeight="1">
      <c r="A20" s="217"/>
      <c r="B20" s="375" t="s">
        <v>1216</v>
      </c>
      <c r="C20" s="376"/>
      <c r="D20" s="377"/>
      <c r="E20" s="220"/>
      <c r="F20" s="215"/>
      <c r="G20" s="215"/>
      <c r="H20" s="215"/>
      <c r="I20" s="215"/>
      <c r="J20" s="215"/>
      <c r="K20" s="215" t="s">
        <v>230</v>
      </c>
      <c r="L20" s="215"/>
      <c r="M20" s="215"/>
      <c r="N20" s="215"/>
      <c r="O20" s="215"/>
      <c r="P20" s="215"/>
      <c r="Q20" s="215"/>
      <c r="R20" s="215"/>
      <c r="S20" s="215"/>
      <c r="T20" s="216"/>
    </row>
    <row r="21" spans="1:21" ht="24.95" customHeight="1">
      <c r="A21" s="217"/>
      <c r="B21" s="375" t="s">
        <v>1217</v>
      </c>
      <c r="C21" s="376"/>
      <c r="D21" s="377"/>
      <c r="E21" s="220"/>
      <c r="F21" s="215"/>
      <c r="G21" s="215"/>
      <c r="H21" s="215"/>
      <c r="I21" s="215"/>
      <c r="J21" s="215"/>
      <c r="K21" s="215"/>
      <c r="L21" s="215" t="s">
        <v>230</v>
      </c>
      <c r="M21" s="215"/>
      <c r="N21" s="215"/>
      <c r="O21" s="215"/>
      <c r="P21" s="215"/>
      <c r="Q21" s="215"/>
      <c r="R21" s="215"/>
      <c r="S21" s="215"/>
      <c r="T21" s="216"/>
    </row>
    <row r="22" spans="1:21" ht="13.5" customHeight="1">
      <c r="A22" s="217"/>
      <c r="B22" s="211"/>
      <c r="C22" s="212"/>
      <c r="D22" s="213"/>
      <c r="E22" s="220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6"/>
    </row>
    <row r="23" spans="1:21" ht="13.5" customHeight="1">
      <c r="A23" s="217"/>
      <c r="B23" s="211"/>
      <c r="C23" s="212"/>
      <c r="D23" s="213"/>
      <c r="E23" s="220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6"/>
    </row>
    <row r="24" spans="1:21" ht="13.5" customHeight="1">
      <c r="A24" s="217"/>
      <c r="B24" s="211"/>
      <c r="C24" s="212"/>
      <c r="D24" s="213"/>
      <c r="E24" s="220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6"/>
    </row>
    <row r="25" spans="1:21" ht="13.5" customHeight="1">
      <c r="A25" s="217"/>
      <c r="B25" s="211"/>
      <c r="C25" s="212"/>
      <c r="D25" s="213"/>
      <c r="E25" s="220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6"/>
    </row>
    <row r="26" spans="1:21" ht="13.5" customHeight="1">
      <c r="A26" s="217"/>
      <c r="B26" s="211"/>
      <c r="C26" s="212"/>
      <c r="D26" s="213"/>
      <c r="E26" s="220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</row>
    <row r="27" spans="1:21" ht="13.5" customHeight="1">
      <c r="A27" s="217"/>
      <c r="B27" s="211"/>
      <c r="C27" s="212"/>
      <c r="D27" s="213"/>
      <c r="E27" s="220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6"/>
    </row>
    <row r="28" spans="1:21" ht="13.5" customHeight="1">
      <c r="A28" s="217"/>
      <c r="B28" s="211"/>
      <c r="C28" s="212"/>
      <c r="D28" s="213"/>
      <c r="E28" s="220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6"/>
    </row>
    <row r="29" spans="1:21" ht="13.5" customHeight="1">
      <c r="A29" s="217"/>
      <c r="B29" s="211"/>
      <c r="C29" s="212"/>
      <c r="D29" s="213"/>
      <c r="E29" s="220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6"/>
    </row>
    <row r="30" spans="1:21" ht="13.5" customHeight="1">
      <c r="A30" s="217"/>
      <c r="B30" s="222"/>
      <c r="C30" s="223"/>
      <c r="D30" s="224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7"/>
    </row>
    <row r="31" spans="1:21" ht="13.5" customHeight="1">
      <c r="A31" s="228" t="s">
        <v>232</v>
      </c>
      <c r="B31" s="229" t="s">
        <v>232</v>
      </c>
      <c r="C31" s="230"/>
      <c r="D31" s="231"/>
      <c r="E31" s="232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4"/>
    </row>
    <row r="32" spans="1:21" ht="23.1" customHeight="1">
      <c r="A32" s="235"/>
      <c r="B32" s="375" t="s">
        <v>1218</v>
      </c>
      <c r="C32" s="376"/>
      <c r="D32" s="377"/>
      <c r="E32" s="238"/>
      <c r="F32" s="215" t="s">
        <v>230</v>
      </c>
      <c r="G32" s="215"/>
      <c r="H32" s="215" t="s">
        <v>230</v>
      </c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6"/>
    </row>
    <row r="33" spans="1:20" ht="23.1" customHeight="1">
      <c r="A33" s="235"/>
      <c r="B33" s="375" t="s">
        <v>1200</v>
      </c>
      <c r="C33" s="387"/>
      <c r="D33" s="377"/>
      <c r="E33" s="240"/>
      <c r="F33" s="215"/>
      <c r="G33" s="215" t="s">
        <v>230</v>
      </c>
      <c r="H33" s="215"/>
      <c r="I33" s="215" t="s">
        <v>230</v>
      </c>
      <c r="J33" s="215"/>
      <c r="K33" s="215" t="s">
        <v>230</v>
      </c>
      <c r="L33" s="215"/>
      <c r="M33" s="215"/>
      <c r="N33" s="215"/>
      <c r="O33" s="215"/>
      <c r="P33" s="215"/>
      <c r="Q33" s="215"/>
      <c r="R33" s="215"/>
      <c r="S33" s="215"/>
      <c r="T33" s="216"/>
    </row>
    <row r="34" spans="1:20" ht="23.1" customHeight="1">
      <c r="A34" s="235"/>
      <c r="B34" s="375" t="s">
        <v>1219</v>
      </c>
      <c r="C34" s="387"/>
      <c r="D34" s="377"/>
      <c r="E34" s="240"/>
      <c r="F34" s="215"/>
      <c r="G34" s="215"/>
      <c r="H34" s="215"/>
      <c r="I34" s="215"/>
      <c r="J34" s="215" t="s">
        <v>230</v>
      </c>
      <c r="K34" s="215"/>
      <c r="L34" s="215"/>
      <c r="M34" s="215"/>
      <c r="N34" s="215"/>
      <c r="O34" s="215"/>
      <c r="P34" s="215"/>
      <c r="Q34" s="215"/>
      <c r="R34" s="215"/>
      <c r="S34" s="215"/>
      <c r="T34" s="216"/>
    </row>
    <row r="35" spans="1:20" ht="23.1" customHeight="1">
      <c r="A35" s="235"/>
      <c r="B35" s="375" t="s">
        <v>1220</v>
      </c>
      <c r="C35" s="387"/>
      <c r="D35" s="377"/>
      <c r="E35" s="240"/>
      <c r="F35" s="215"/>
      <c r="G35" s="215"/>
      <c r="H35" s="215"/>
      <c r="I35" s="215"/>
      <c r="J35" s="215"/>
      <c r="K35" s="215"/>
      <c r="L35" s="215" t="s">
        <v>230</v>
      </c>
      <c r="M35" s="215"/>
      <c r="N35" s="215"/>
      <c r="O35" s="215"/>
      <c r="P35" s="215"/>
      <c r="Q35" s="215"/>
      <c r="R35" s="215"/>
      <c r="S35" s="215"/>
      <c r="T35" s="216"/>
    </row>
    <row r="36" spans="1:20" ht="13.5" customHeight="1">
      <c r="A36" s="235"/>
      <c r="B36" s="236"/>
      <c r="C36" s="239"/>
      <c r="D36" s="237"/>
      <c r="E36" s="240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6"/>
    </row>
    <row r="37" spans="1:20" ht="13.5" customHeight="1">
      <c r="A37" s="235"/>
      <c r="B37" s="236"/>
      <c r="C37" s="239"/>
      <c r="D37" s="237"/>
      <c r="E37" s="240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6"/>
    </row>
    <row r="38" spans="1:20" ht="13.5" customHeight="1">
      <c r="A38" s="235"/>
      <c r="B38" s="241"/>
      <c r="C38" s="242"/>
      <c r="D38" s="243"/>
      <c r="E38" s="244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6"/>
    </row>
    <row r="39" spans="1:20" ht="13.5" customHeight="1">
      <c r="A39" s="228" t="s">
        <v>204</v>
      </c>
      <c r="B39" s="393" t="s">
        <v>233</v>
      </c>
      <c r="C39" s="393"/>
      <c r="D39" s="393"/>
      <c r="E39" s="247"/>
      <c r="F39" s="248" t="s">
        <v>198</v>
      </c>
      <c r="G39" s="248" t="s">
        <v>199</v>
      </c>
      <c r="H39" s="248" t="s">
        <v>198</v>
      </c>
      <c r="I39" s="248" t="s">
        <v>199</v>
      </c>
      <c r="J39" s="248" t="s">
        <v>198</v>
      </c>
      <c r="K39" s="248" t="s">
        <v>199</v>
      </c>
      <c r="L39" s="248" t="s">
        <v>200</v>
      </c>
      <c r="M39" s="248"/>
      <c r="N39" s="248"/>
      <c r="O39" s="248"/>
      <c r="P39" s="248"/>
      <c r="Q39" s="248"/>
      <c r="R39" s="248"/>
      <c r="S39" s="248"/>
      <c r="T39" s="249"/>
    </row>
    <row r="40" spans="1:20" ht="13.5" customHeight="1">
      <c r="A40" s="250"/>
      <c r="B40" s="394" t="s">
        <v>234</v>
      </c>
      <c r="C40" s="394"/>
      <c r="D40" s="394"/>
      <c r="E40" s="251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3"/>
    </row>
    <row r="41" spans="1:20" ht="13.5" customHeight="1">
      <c r="A41" s="250"/>
      <c r="B41" s="395" t="s">
        <v>235</v>
      </c>
      <c r="C41" s="395"/>
      <c r="D41" s="395"/>
      <c r="E41" s="254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6"/>
    </row>
    <row r="42" spans="1:20" ht="80.099999999999994" customHeight="1">
      <c r="A42" s="257"/>
      <c r="B42" s="396" t="s">
        <v>236</v>
      </c>
      <c r="C42" s="396"/>
      <c r="D42" s="396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9"/>
    </row>
    <row r="43" spans="1:20" ht="12" customHeight="1">
      <c r="A43" s="195"/>
      <c r="B43" s="194"/>
      <c r="C43" s="196"/>
      <c r="D43" s="194"/>
    </row>
    <row r="44" spans="1:20" ht="30.95" customHeight="1">
      <c r="A44" s="384" t="s">
        <v>283</v>
      </c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</row>
    <row r="45" spans="1:20" ht="27.95" customHeight="1">
      <c r="A45" s="86" t="s">
        <v>238</v>
      </c>
      <c r="B45" s="382" t="s">
        <v>239</v>
      </c>
      <c r="C45" s="382"/>
      <c r="D45" s="382"/>
      <c r="E45" s="382"/>
      <c r="F45" s="382"/>
      <c r="G45" s="382"/>
      <c r="H45" s="382"/>
      <c r="I45" s="382"/>
      <c r="J45" s="382"/>
      <c r="K45" s="383" t="s">
        <v>240</v>
      </c>
      <c r="L45" s="383"/>
      <c r="M45" s="383"/>
      <c r="N45" s="383"/>
      <c r="O45" s="383"/>
      <c r="P45" s="383"/>
      <c r="Q45" s="383"/>
      <c r="R45" s="383"/>
      <c r="S45" s="383"/>
      <c r="T45" s="383"/>
    </row>
    <row r="46" spans="1:20" ht="33.950000000000003" customHeight="1">
      <c r="A46" s="169" t="s">
        <v>284</v>
      </c>
      <c r="B46" s="380" t="s">
        <v>285</v>
      </c>
      <c r="C46" s="380"/>
      <c r="D46" s="380"/>
      <c r="E46" s="380"/>
      <c r="F46" s="380"/>
      <c r="G46" s="380"/>
      <c r="H46" s="380"/>
      <c r="I46" s="380"/>
      <c r="J46" s="380"/>
      <c r="K46" s="381" t="s">
        <v>286</v>
      </c>
      <c r="L46" s="381"/>
      <c r="M46" s="381"/>
      <c r="N46" s="381"/>
      <c r="O46" s="381"/>
      <c r="P46" s="381"/>
      <c r="Q46" s="381"/>
      <c r="R46" s="381"/>
      <c r="S46" s="381"/>
      <c r="T46" s="381"/>
    </row>
    <row r="47" spans="1:20" ht="33.950000000000003" customHeight="1">
      <c r="A47" s="170" t="s">
        <v>287</v>
      </c>
      <c r="B47" s="378" t="s">
        <v>285</v>
      </c>
      <c r="C47" s="378"/>
      <c r="D47" s="378"/>
      <c r="E47" s="378"/>
      <c r="F47" s="378"/>
      <c r="G47" s="378"/>
      <c r="H47" s="378"/>
      <c r="I47" s="378"/>
      <c r="J47" s="378"/>
      <c r="K47" s="379" t="s">
        <v>288</v>
      </c>
      <c r="L47" s="379"/>
      <c r="M47" s="379"/>
      <c r="N47" s="379"/>
      <c r="O47" s="379"/>
      <c r="P47" s="379"/>
      <c r="Q47" s="379"/>
      <c r="R47" s="379"/>
      <c r="S47" s="379"/>
      <c r="T47" s="379"/>
    </row>
    <row r="48" spans="1:20" ht="33.950000000000003" customHeight="1">
      <c r="A48" s="169" t="s">
        <v>289</v>
      </c>
      <c r="B48" s="380" t="s">
        <v>290</v>
      </c>
      <c r="C48" s="380"/>
      <c r="D48" s="380"/>
      <c r="E48" s="380"/>
      <c r="F48" s="380"/>
      <c r="G48" s="380"/>
      <c r="H48" s="380"/>
      <c r="I48" s="380"/>
      <c r="J48" s="380"/>
      <c r="K48" s="381" t="s">
        <v>291</v>
      </c>
      <c r="L48" s="381"/>
      <c r="M48" s="381"/>
      <c r="N48" s="381"/>
      <c r="O48" s="381"/>
      <c r="P48" s="381"/>
      <c r="Q48" s="381"/>
      <c r="R48" s="381"/>
      <c r="S48" s="381"/>
      <c r="T48" s="381"/>
    </row>
    <row r="49" spans="1:20" ht="33.950000000000003" customHeight="1">
      <c r="A49" s="170" t="s">
        <v>292</v>
      </c>
      <c r="B49" s="378" t="s">
        <v>293</v>
      </c>
      <c r="C49" s="378"/>
      <c r="D49" s="378"/>
      <c r="E49" s="378"/>
      <c r="F49" s="378"/>
      <c r="G49" s="378"/>
      <c r="H49" s="378"/>
      <c r="I49" s="378"/>
      <c r="J49" s="378"/>
      <c r="K49" s="379" t="s">
        <v>294</v>
      </c>
      <c r="L49" s="379"/>
      <c r="M49" s="379"/>
      <c r="N49" s="379"/>
      <c r="O49" s="379"/>
      <c r="P49" s="379"/>
      <c r="Q49" s="379"/>
      <c r="R49" s="379"/>
      <c r="S49" s="379"/>
      <c r="T49" s="379"/>
    </row>
    <row r="50" spans="1:20" ht="33.950000000000003" customHeight="1">
      <c r="A50" s="169" t="s">
        <v>295</v>
      </c>
      <c r="B50" s="380" t="s">
        <v>296</v>
      </c>
      <c r="C50" s="380"/>
      <c r="D50" s="380"/>
      <c r="E50" s="380"/>
      <c r="F50" s="380"/>
      <c r="G50" s="380"/>
      <c r="H50" s="380"/>
      <c r="I50" s="380"/>
      <c r="J50" s="380"/>
      <c r="K50" s="381" t="s">
        <v>297</v>
      </c>
      <c r="L50" s="381"/>
      <c r="M50" s="381"/>
      <c r="N50" s="381"/>
      <c r="O50" s="381"/>
      <c r="P50" s="381"/>
      <c r="Q50" s="381"/>
      <c r="R50" s="381"/>
      <c r="S50" s="381"/>
      <c r="T50" s="381"/>
    </row>
    <row r="51" spans="1:20" ht="33.950000000000003" customHeight="1">
      <c r="A51" s="170" t="s">
        <v>298</v>
      </c>
      <c r="B51" s="378" t="s">
        <v>299</v>
      </c>
      <c r="C51" s="378"/>
      <c r="D51" s="378"/>
      <c r="E51" s="378"/>
      <c r="F51" s="378"/>
      <c r="G51" s="378"/>
      <c r="H51" s="378"/>
      <c r="I51" s="378"/>
      <c r="J51" s="378"/>
      <c r="K51" s="379" t="s">
        <v>300</v>
      </c>
      <c r="L51" s="379"/>
      <c r="M51" s="379"/>
      <c r="N51" s="379"/>
      <c r="O51" s="379"/>
      <c r="P51" s="379"/>
      <c r="Q51" s="379"/>
      <c r="R51" s="379"/>
      <c r="S51" s="379"/>
      <c r="T51" s="379"/>
    </row>
    <row r="52" spans="1:20" ht="33.950000000000003" customHeight="1">
      <c r="A52" s="169" t="s">
        <v>301</v>
      </c>
      <c r="B52" s="380" t="s">
        <v>302</v>
      </c>
      <c r="C52" s="380"/>
      <c r="D52" s="380"/>
      <c r="E52" s="380"/>
      <c r="F52" s="380"/>
      <c r="G52" s="380"/>
      <c r="H52" s="380"/>
      <c r="I52" s="380"/>
      <c r="J52" s="380"/>
      <c r="K52" s="381" t="s">
        <v>303</v>
      </c>
      <c r="L52" s="381"/>
      <c r="M52" s="381"/>
      <c r="N52" s="381"/>
      <c r="O52" s="381"/>
      <c r="P52" s="381"/>
      <c r="Q52" s="381"/>
      <c r="R52" s="381"/>
      <c r="S52" s="381"/>
      <c r="T52" s="381"/>
    </row>
  </sheetData>
  <mergeCells count="56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9:D39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11:D11"/>
    <mergeCell ref="B15:D15"/>
    <mergeCell ref="B16:D16"/>
    <mergeCell ref="B17:D17"/>
    <mergeCell ref="B18:D18"/>
    <mergeCell ref="B20:D20"/>
    <mergeCell ref="B21:D21"/>
    <mergeCell ref="B32:D32"/>
    <mergeCell ref="B33:D33"/>
    <mergeCell ref="B34:D34"/>
    <mergeCell ref="B35:D35"/>
    <mergeCell ref="B48:J48"/>
  </mergeCells>
  <dataValidations count="3">
    <dataValidation type="list" allowBlank="1" showErrorMessage="1" sqref="F39:T39" xr:uid="{00000000-0002-0000-0600-000000000000}">
      <formula1>"N,A,B"</formula1>
      <formula2>0</formula2>
    </dataValidation>
    <dataValidation type="list" allowBlank="1" showErrorMessage="1" sqref="F40:T40" xr:uid="{00000000-0002-0000-0600-000001000000}">
      <formula1>"P,F"</formula1>
      <formula2>0</formula2>
    </dataValidation>
    <dataValidation type="list" allowBlank="1" showErrorMessage="1" sqref="F10:T38" xr:uid="{00000000-0002-0000-0600-000002000000}">
      <formula1>"O,"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2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Functions!E14</f>
        <v>UT-004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Functions!D14</f>
        <v>planReviewDecision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1374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53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315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7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4</v>
      </c>
      <c r="N7" s="275">
        <f>COUNTIF(F39:T39,"B")</f>
        <v>1</v>
      </c>
      <c r="O7" s="424">
        <f>COUNTA(F9:T9)</f>
        <v>7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97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 t="s">
        <v>230</v>
      </c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1221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1222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1223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1224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1225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1226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24.95" customHeight="1">
      <c r="A21" s="288"/>
      <c r="B21" s="412" t="s">
        <v>1227</v>
      </c>
      <c r="C21" s="413"/>
      <c r="D21" s="414"/>
      <c r="E21" s="295"/>
      <c r="F21" s="292"/>
      <c r="G21" s="292"/>
      <c r="H21" s="292"/>
      <c r="I21" s="292"/>
      <c r="J21" s="292"/>
      <c r="K21" s="292"/>
      <c r="L21" s="292" t="s">
        <v>230</v>
      </c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1228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1229</v>
      </c>
      <c r="C33" s="413"/>
      <c r="D33" s="414"/>
      <c r="E33" s="312"/>
      <c r="F33" s="292"/>
      <c r="G33" s="292" t="s">
        <v>230</v>
      </c>
      <c r="H33" s="292" t="s">
        <v>230</v>
      </c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1230</v>
      </c>
      <c r="C34" s="413"/>
      <c r="D34" s="414"/>
      <c r="E34" s="312"/>
      <c r="F34" s="292"/>
      <c r="G34" s="292"/>
      <c r="H34" s="292"/>
      <c r="I34" s="292" t="s">
        <v>230</v>
      </c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1231</v>
      </c>
      <c r="C35" s="413"/>
      <c r="D35" s="414"/>
      <c r="E35" s="312"/>
      <c r="F35" s="292"/>
      <c r="G35" s="292"/>
      <c r="H35" s="292"/>
      <c r="I35" s="292"/>
      <c r="J35" s="292" t="s">
        <v>230</v>
      </c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1232</v>
      </c>
      <c r="C36" s="413"/>
      <c r="D36" s="414"/>
      <c r="E36" s="312"/>
      <c r="F36" s="292"/>
      <c r="G36" s="292"/>
      <c r="H36" s="292"/>
      <c r="I36" s="292"/>
      <c r="J36" s="292"/>
      <c r="K36" s="292" t="s">
        <v>230</v>
      </c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1233</v>
      </c>
      <c r="C37" s="413"/>
      <c r="D37" s="414"/>
      <c r="E37" s="312"/>
      <c r="F37" s="292"/>
      <c r="G37" s="292"/>
      <c r="H37" s="292"/>
      <c r="I37" s="292"/>
      <c r="J37" s="292"/>
      <c r="K37" s="292"/>
      <c r="L37" s="292" t="s">
        <v>230</v>
      </c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199</v>
      </c>
      <c r="I39" s="320" t="s">
        <v>199</v>
      </c>
      <c r="J39" s="320" t="s">
        <v>199</v>
      </c>
      <c r="K39" s="320" t="s">
        <v>198</v>
      </c>
      <c r="L39" s="320" t="s">
        <v>200</v>
      </c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316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317</v>
      </c>
      <c r="B46" s="411" t="s">
        <v>318</v>
      </c>
      <c r="C46" s="411"/>
      <c r="D46" s="411"/>
      <c r="E46" s="411"/>
      <c r="F46" s="411"/>
      <c r="G46" s="411"/>
      <c r="H46" s="411"/>
      <c r="I46" s="411"/>
      <c r="J46" s="411"/>
      <c r="K46" s="411" t="s">
        <v>319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320</v>
      </c>
      <c r="B47" s="416" t="s">
        <v>321</v>
      </c>
      <c r="C47" s="416"/>
      <c r="D47" s="416"/>
      <c r="E47" s="416"/>
      <c r="F47" s="416"/>
      <c r="G47" s="416"/>
      <c r="H47" s="416"/>
      <c r="I47" s="416"/>
      <c r="J47" s="416"/>
      <c r="K47" s="416" t="s">
        <v>322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323</v>
      </c>
      <c r="B48" s="411" t="s">
        <v>321</v>
      </c>
      <c r="C48" s="411"/>
      <c r="D48" s="411"/>
      <c r="E48" s="411"/>
      <c r="F48" s="411"/>
      <c r="G48" s="411"/>
      <c r="H48" s="411"/>
      <c r="I48" s="411"/>
      <c r="J48" s="411"/>
      <c r="K48" s="411" t="s">
        <v>324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325</v>
      </c>
      <c r="B49" s="416" t="s">
        <v>326</v>
      </c>
      <c r="C49" s="416"/>
      <c r="D49" s="416"/>
      <c r="E49" s="416"/>
      <c r="F49" s="416"/>
      <c r="G49" s="416"/>
      <c r="H49" s="416"/>
      <c r="I49" s="416"/>
      <c r="J49" s="416"/>
      <c r="K49" s="416" t="s">
        <v>327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328</v>
      </c>
      <c r="B50" s="411" t="s">
        <v>329</v>
      </c>
      <c r="C50" s="411"/>
      <c r="D50" s="411"/>
      <c r="E50" s="411"/>
      <c r="F50" s="411"/>
      <c r="G50" s="411"/>
      <c r="H50" s="411"/>
      <c r="I50" s="411"/>
      <c r="J50" s="411"/>
      <c r="K50" s="411" t="s">
        <v>330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331</v>
      </c>
      <c r="B51" s="416" t="s">
        <v>332</v>
      </c>
      <c r="C51" s="416"/>
      <c r="D51" s="416"/>
      <c r="E51" s="416"/>
      <c r="F51" s="416"/>
      <c r="G51" s="416"/>
      <c r="H51" s="416"/>
      <c r="I51" s="416"/>
      <c r="J51" s="416"/>
      <c r="K51" s="416" t="s">
        <v>333</v>
      </c>
      <c r="L51" s="416"/>
      <c r="M51" s="416"/>
      <c r="N51" s="416"/>
      <c r="O51" s="416"/>
      <c r="P51" s="416"/>
      <c r="Q51" s="416"/>
      <c r="R51" s="416"/>
      <c r="S51" s="416"/>
      <c r="T51" s="416"/>
    </row>
    <row r="52" spans="1:20" ht="33.950000000000003" customHeight="1">
      <c r="A52" s="333" t="s">
        <v>334</v>
      </c>
      <c r="B52" s="411" t="s">
        <v>335</v>
      </c>
      <c r="C52" s="411"/>
      <c r="D52" s="411"/>
      <c r="E52" s="411"/>
      <c r="F52" s="411"/>
      <c r="G52" s="411"/>
      <c r="H52" s="411"/>
      <c r="I52" s="411"/>
      <c r="J52" s="411"/>
      <c r="K52" s="411" t="s">
        <v>336</v>
      </c>
      <c r="L52" s="411"/>
      <c r="M52" s="411"/>
      <c r="N52" s="411"/>
      <c r="O52" s="411"/>
      <c r="P52" s="411"/>
      <c r="Q52" s="411"/>
      <c r="R52" s="411"/>
      <c r="S52" s="411"/>
      <c r="T52" s="411"/>
    </row>
  </sheetData>
  <mergeCells count="5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11:D11"/>
    <mergeCell ref="B15:D15"/>
    <mergeCell ref="B16:D16"/>
    <mergeCell ref="B17:D17"/>
    <mergeCell ref="B18:D18"/>
    <mergeCell ref="B19:D19"/>
    <mergeCell ref="B20:D20"/>
    <mergeCell ref="B21:D21"/>
    <mergeCell ref="B32:D32"/>
    <mergeCell ref="B33:D33"/>
    <mergeCell ref="B34:D34"/>
    <mergeCell ref="B35:D35"/>
    <mergeCell ref="B36:D36"/>
    <mergeCell ref="B37:D37"/>
  </mergeCells>
  <dataValidations count="3">
    <dataValidation type="list" sqref="F10:T38" xr:uid="{00000000-0002-0000-0800-000000000000}">
      <formula1>"O,"</formula1>
      <formula2>0</formula2>
    </dataValidation>
    <dataValidation type="list" sqref="F39:T39" xr:uid="{00000000-0002-0000-0800-000001000000}">
      <formula1>"N,A,B"</formula1>
      <formula2>0</formula2>
    </dataValidation>
    <dataValidation type="list" sqref="F40:T40" xr:uid="{00000000-0002-0000-0800-000002000000}">
      <formula1>"P,F"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3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Functions!E15</f>
        <v>UT-005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Functions!D15</f>
        <v>authorizedReviewQueue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39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337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8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3</v>
      </c>
      <c r="N7" s="275">
        <f>COUNTIF(F39:T39,"B")</f>
        <v>3</v>
      </c>
      <c r="O7" s="424">
        <f>COUNTA(F9:T9)</f>
        <v>8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 t="s">
        <v>227</v>
      </c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103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 t="s">
        <v>230</v>
      </c>
      <c r="M11" s="292" t="s">
        <v>230</v>
      </c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1234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1235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1236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1237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1238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1239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24.95" customHeight="1">
      <c r="A21" s="288"/>
      <c r="B21" s="412" t="s">
        <v>1240</v>
      </c>
      <c r="C21" s="413"/>
      <c r="D21" s="414"/>
      <c r="E21" s="295"/>
      <c r="F21" s="292"/>
      <c r="G21" s="292"/>
      <c r="H21" s="292"/>
      <c r="I21" s="292"/>
      <c r="J21" s="292"/>
      <c r="K21" s="292"/>
      <c r="L21" s="292" t="s">
        <v>230</v>
      </c>
      <c r="M21" s="292"/>
      <c r="N21" s="292"/>
      <c r="O21" s="292"/>
      <c r="P21" s="292"/>
      <c r="Q21" s="292"/>
      <c r="R21" s="292"/>
      <c r="S21" s="292"/>
      <c r="T21" s="293"/>
    </row>
    <row r="22" spans="1:20" ht="24.95" customHeight="1">
      <c r="A22" s="288"/>
      <c r="B22" s="412" t="s">
        <v>1241</v>
      </c>
      <c r="C22" s="413"/>
      <c r="D22" s="414"/>
      <c r="E22" s="295"/>
      <c r="F22" s="292"/>
      <c r="G22" s="292"/>
      <c r="H22" s="292"/>
      <c r="I22" s="292"/>
      <c r="J22" s="292"/>
      <c r="K22" s="292"/>
      <c r="L22" s="292"/>
      <c r="M22" s="292" t="s">
        <v>230</v>
      </c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1242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1243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1244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1245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1246</v>
      </c>
      <c r="C36" s="413"/>
      <c r="D36" s="414"/>
      <c r="E36" s="312"/>
      <c r="F36" s="292"/>
      <c r="G36" s="292"/>
      <c r="H36" s="292"/>
      <c r="I36" s="292"/>
      <c r="J36" s="292" t="s">
        <v>230</v>
      </c>
      <c r="K36" s="292" t="s">
        <v>230</v>
      </c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1247</v>
      </c>
      <c r="C37" s="413"/>
      <c r="D37" s="414"/>
      <c r="E37" s="312"/>
      <c r="F37" s="292"/>
      <c r="G37" s="292"/>
      <c r="H37" s="292"/>
      <c r="I37" s="292"/>
      <c r="J37" s="292"/>
      <c r="K37" s="292"/>
      <c r="L37" s="292" t="s">
        <v>230</v>
      </c>
      <c r="M37" s="292"/>
      <c r="N37" s="292"/>
      <c r="O37" s="292"/>
      <c r="P37" s="292"/>
      <c r="Q37" s="292"/>
      <c r="R37" s="292"/>
      <c r="S37" s="292"/>
      <c r="T37" s="293"/>
    </row>
    <row r="38" spans="1:20" ht="23.1" customHeight="1">
      <c r="A38" s="307"/>
      <c r="B38" s="440" t="s">
        <v>1248</v>
      </c>
      <c r="C38" s="441"/>
      <c r="D38" s="442"/>
      <c r="E38" s="316"/>
      <c r="F38" s="317"/>
      <c r="G38" s="317"/>
      <c r="H38" s="317"/>
      <c r="I38" s="317"/>
      <c r="J38" s="317"/>
      <c r="K38" s="317"/>
      <c r="L38" s="317"/>
      <c r="M38" s="317" t="s">
        <v>230</v>
      </c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 t="s">
        <v>200</v>
      </c>
      <c r="I39" s="320" t="s">
        <v>198</v>
      </c>
      <c r="J39" s="320" t="s">
        <v>199</v>
      </c>
      <c r="K39" s="320" t="s">
        <v>199</v>
      </c>
      <c r="L39" s="320" t="s">
        <v>199</v>
      </c>
      <c r="M39" s="320" t="s">
        <v>200</v>
      </c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338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339</v>
      </c>
      <c r="B46" s="411" t="s">
        <v>340</v>
      </c>
      <c r="C46" s="411"/>
      <c r="D46" s="411"/>
      <c r="E46" s="411"/>
      <c r="F46" s="411"/>
      <c r="G46" s="411"/>
      <c r="H46" s="411"/>
      <c r="I46" s="411"/>
      <c r="J46" s="411"/>
      <c r="K46" s="411" t="s">
        <v>341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342</v>
      </c>
      <c r="B47" s="416" t="s">
        <v>343</v>
      </c>
      <c r="C47" s="416"/>
      <c r="D47" s="416"/>
      <c r="E47" s="416"/>
      <c r="F47" s="416"/>
      <c r="G47" s="416"/>
      <c r="H47" s="416"/>
      <c r="I47" s="416"/>
      <c r="J47" s="416"/>
      <c r="K47" s="416" t="s">
        <v>344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345</v>
      </c>
      <c r="B48" s="411" t="s">
        <v>346</v>
      </c>
      <c r="C48" s="411"/>
      <c r="D48" s="411"/>
      <c r="E48" s="411"/>
      <c r="F48" s="411"/>
      <c r="G48" s="411"/>
      <c r="H48" s="411"/>
      <c r="I48" s="411"/>
      <c r="J48" s="411"/>
      <c r="K48" s="411" t="s">
        <v>347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348</v>
      </c>
      <c r="B49" s="416" t="s">
        <v>349</v>
      </c>
      <c r="C49" s="416"/>
      <c r="D49" s="416"/>
      <c r="E49" s="416"/>
      <c r="F49" s="416"/>
      <c r="G49" s="416"/>
      <c r="H49" s="416"/>
      <c r="I49" s="416"/>
      <c r="J49" s="416"/>
      <c r="K49" s="416" t="s">
        <v>350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351</v>
      </c>
      <c r="B50" s="411" t="s">
        <v>352</v>
      </c>
      <c r="C50" s="411"/>
      <c r="D50" s="411"/>
      <c r="E50" s="411"/>
      <c r="F50" s="411"/>
      <c r="G50" s="411"/>
      <c r="H50" s="411"/>
      <c r="I50" s="411"/>
      <c r="J50" s="411"/>
      <c r="K50" s="411" t="s">
        <v>353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354</v>
      </c>
      <c r="B51" s="416" t="s">
        <v>355</v>
      </c>
      <c r="C51" s="416"/>
      <c r="D51" s="416"/>
      <c r="E51" s="416"/>
      <c r="F51" s="416"/>
      <c r="G51" s="416"/>
      <c r="H51" s="416"/>
      <c r="I51" s="416"/>
      <c r="J51" s="416"/>
      <c r="K51" s="416" t="s">
        <v>356</v>
      </c>
      <c r="L51" s="416"/>
      <c r="M51" s="416"/>
      <c r="N51" s="416"/>
      <c r="O51" s="416"/>
      <c r="P51" s="416"/>
      <c r="Q51" s="416"/>
      <c r="R51" s="416"/>
      <c r="S51" s="416"/>
      <c r="T51" s="416"/>
    </row>
    <row r="52" spans="1:20" ht="33.950000000000003" customHeight="1">
      <c r="A52" s="333" t="s">
        <v>357</v>
      </c>
      <c r="B52" s="411" t="s">
        <v>358</v>
      </c>
      <c r="C52" s="411"/>
      <c r="D52" s="411"/>
      <c r="E52" s="411"/>
      <c r="F52" s="411"/>
      <c r="G52" s="411"/>
      <c r="H52" s="411"/>
      <c r="I52" s="411"/>
      <c r="J52" s="411"/>
      <c r="K52" s="411" t="s">
        <v>359</v>
      </c>
      <c r="L52" s="411"/>
      <c r="M52" s="411"/>
      <c r="N52" s="411"/>
      <c r="O52" s="411"/>
      <c r="P52" s="411"/>
      <c r="Q52" s="411"/>
      <c r="R52" s="411"/>
      <c r="S52" s="411"/>
      <c r="T52" s="411"/>
    </row>
    <row r="53" spans="1:20" ht="33.950000000000003" customHeight="1">
      <c r="A53" s="334" t="s">
        <v>360</v>
      </c>
      <c r="B53" s="416" t="s">
        <v>361</v>
      </c>
      <c r="C53" s="416"/>
      <c r="D53" s="416"/>
      <c r="E53" s="416"/>
      <c r="F53" s="416"/>
      <c r="G53" s="416"/>
      <c r="H53" s="416"/>
      <c r="I53" s="416"/>
      <c r="J53" s="416"/>
      <c r="K53" s="416" t="s">
        <v>362</v>
      </c>
      <c r="L53" s="416"/>
      <c r="M53" s="416"/>
      <c r="N53" s="416"/>
      <c r="O53" s="416"/>
      <c r="P53" s="416"/>
      <c r="Q53" s="416"/>
      <c r="R53" s="416"/>
      <c r="S53" s="416"/>
      <c r="T53" s="416"/>
    </row>
  </sheetData>
  <mergeCells count="62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35:D35"/>
    <mergeCell ref="B36:D36"/>
    <mergeCell ref="B37:D37"/>
    <mergeCell ref="B38:D38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53:J53"/>
    <mergeCell ref="K53:T53"/>
    <mergeCell ref="B11:D11"/>
    <mergeCell ref="B15:D15"/>
    <mergeCell ref="B16:D16"/>
    <mergeCell ref="B17:D17"/>
    <mergeCell ref="B18:D18"/>
    <mergeCell ref="B19:D19"/>
    <mergeCell ref="B20:D20"/>
    <mergeCell ref="B21:D21"/>
    <mergeCell ref="B22:D22"/>
    <mergeCell ref="B32:D32"/>
    <mergeCell ref="B33:D33"/>
    <mergeCell ref="B34:D34"/>
  </mergeCells>
  <dataValidations count="3">
    <dataValidation type="list" sqref="F10:T38" xr:uid="{00000000-0002-0000-0900-000000000000}">
      <formula1>"O,"</formula1>
      <formula2>0</formula2>
    </dataValidation>
    <dataValidation type="list" sqref="F39:T39" xr:uid="{00000000-0002-0000-0900-000001000000}">
      <formula1>"N,A,B"</formula1>
      <formula2>0</formula2>
    </dataValidation>
    <dataValidation type="list" sqref="F40:T40" xr:uid="{00000000-0002-0000-0900-000002000000}">
      <formula1>"P,F"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1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Functions!E16</f>
        <v>UT-006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Functions!D16</f>
        <v>IndexingWorker.runOnce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1375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22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363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6</v>
      </c>
      <c r="G7" s="423"/>
      <c r="H7" s="423"/>
      <c r="I7" s="423"/>
      <c r="J7" s="423"/>
      <c r="K7" s="423"/>
      <c r="L7" s="275">
        <f>COUNTIF(F39:T39,"N")</f>
        <v>3</v>
      </c>
      <c r="M7" s="275">
        <f>COUNTIF(F39:T39,"A")</f>
        <v>1</v>
      </c>
      <c r="N7" s="275">
        <f>COUNTIF(F39:T39,"B")</f>
        <v>2</v>
      </c>
      <c r="O7" s="424">
        <f>COUNTA(F9:T9)</f>
        <v>6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36" customHeight="1">
      <c r="A11" s="288"/>
      <c r="B11" s="412" t="s">
        <v>109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1249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1250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1251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1252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1253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1254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1255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1256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1257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1258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1259</v>
      </c>
      <c r="C36" s="413"/>
      <c r="D36" s="414"/>
      <c r="E36" s="312"/>
      <c r="F36" s="292"/>
      <c r="G36" s="292"/>
      <c r="H36" s="292"/>
      <c r="I36" s="292"/>
      <c r="J36" s="292" t="s">
        <v>230</v>
      </c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1260</v>
      </c>
      <c r="C37" s="413"/>
      <c r="D37" s="414"/>
      <c r="E37" s="312"/>
      <c r="F37" s="292"/>
      <c r="G37" s="292"/>
      <c r="H37" s="292"/>
      <c r="I37" s="292"/>
      <c r="J37" s="292"/>
      <c r="K37" s="292" t="s">
        <v>230</v>
      </c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 t="s">
        <v>199</v>
      </c>
      <c r="I39" s="320" t="s">
        <v>198</v>
      </c>
      <c r="J39" s="320" t="s">
        <v>198</v>
      </c>
      <c r="K39" s="320" t="s">
        <v>200</v>
      </c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364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365</v>
      </c>
      <c r="B46" s="411" t="s">
        <v>366</v>
      </c>
      <c r="C46" s="411"/>
      <c r="D46" s="411"/>
      <c r="E46" s="411"/>
      <c r="F46" s="411"/>
      <c r="G46" s="411"/>
      <c r="H46" s="411"/>
      <c r="I46" s="411"/>
      <c r="J46" s="411"/>
      <c r="K46" s="411" t="s">
        <v>367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368</v>
      </c>
      <c r="B47" s="416" t="s">
        <v>366</v>
      </c>
      <c r="C47" s="416"/>
      <c r="D47" s="416"/>
      <c r="E47" s="416"/>
      <c r="F47" s="416"/>
      <c r="G47" s="416"/>
      <c r="H47" s="416"/>
      <c r="I47" s="416"/>
      <c r="J47" s="416"/>
      <c r="K47" s="416" t="s">
        <v>369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370</v>
      </c>
      <c r="B48" s="411" t="s">
        <v>371</v>
      </c>
      <c r="C48" s="411"/>
      <c r="D48" s="411"/>
      <c r="E48" s="411"/>
      <c r="F48" s="411"/>
      <c r="G48" s="411"/>
      <c r="H48" s="411"/>
      <c r="I48" s="411"/>
      <c r="J48" s="411"/>
      <c r="K48" s="411" t="s">
        <v>372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373</v>
      </c>
      <c r="B49" s="416" t="s">
        <v>374</v>
      </c>
      <c r="C49" s="416"/>
      <c r="D49" s="416"/>
      <c r="E49" s="416"/>
      <c r="F49" s="416"/>
      <c r="G49" s="416"/>
      <c r="H49" s="416"/>
      <c r="I49" s="416"/>
      <c r="J49" s="416"/>
      <c r="K49" s="416" t="s">
        <v>375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376</v>
      </c>
      <c r="B50" s="411" t="s">
        <v>377</v>
      </c>
      <c r="C50" s="411"/>
      <c r="D50" s="411"/>
      <c r="E50" s="411"/>
      <c r="F50" s="411"/>
      <c r="G50" s="411"/>
      <c r="H50" s="411"/>
      <c r="I50" s="411"/>
      <c r="J50" s="411"/>
      <c r="K50" s="411" t="s">
        <v>378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379</v>
      </c>
      <c r="B51" s="416" t="s">
        <v>380</v>
      </c>
      <c r="C51" s="416"/>
      <c r="D51" s="416"/>
      <c r="E51" s="416"/>
      <c r="F51" s="416"/>
      <c r="G51" s="416"/>
      <c r="H51" s="416"/>
      <c r="I51" s="416"/>
      <c r="J51" s="416"/>
      <c r="K51" s="416" t="s">
        <v>381</v>
      </c>
      <c r="L51" s="416"/>
      <c r="M51" s="416"/>
      <c r="N51" s="416"/>
      <c r="O51" s="416"/>
      <c r="P51" s="416"/>
      <c r="Q51" s="416"/>
      <c r="R51" s="416"/>
      <c r="S51" s="416"/>
      <c r="T51" s="416"/>
    </row>
  </sheetData>
  <mergeCells count="55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18:D18"/>
    <mergeCell ref="B19:D19"/>
    <mergeCell ref="B20:D20"/>
    <mergeCell ref="B32:D32"/>
    <mergeCell ref="B33:D33"/>
    <mergeCell ref="B34:D34"/>
    <mergeCell ref="B35:D35"/>
    <mergeCell ref="B51:J51"/>
    <mergeCell ref="K51:T51"/>
    <mergeCell ref="B46:J46"/>
    <mergeCell ref="K46:T46"/>
    <mergeCell ref="B47:J47"/>
    <mergeCell ref="K47:T47"/>
    <mergeCell ref="B48:J48"/>
    <mergeCell ref="K48:T48"/>
    <mergeCell ref="B36:D36"/>
    <mergeCell ref="B37:D37"/>
    <mergeCell ref="B49:J49"/>
    <mergeCell ref="K49:T49"/>
    <mergeCell ref="B50:J50"/>
    <mergeCell ref="K50:T50"/>
    <mergeCell ref="B40:D40"/>
    <mergeCell ref="B41:D41"/>
    <mergeCell ref="B42:D42"/>
    <mergeCell ref="A44:T44"/>
    <mergeCell ref="B45:J45"/>
    <mergeCell ref="K45:T45"/>
  </mergeCells>
  <dataValidations count="3">
    <dataValidation type="list" sqref="F10:T38" xr:uid="{00000000-0002-0000-0A00-000000000000}">
      <formula1>"O,"</formula1>
      <formula2>0</formula2>
    </dataValidation>
    <dataValidation type="list" sqref="F39:T39" xr:uid="{00000000-0002-0000-0A00-000001000000}">
      <formula1>"N,A,B"</formula1>
      <formula2>0</formula2>
    </dataValidation>
    <dataValidation type="list" sqref="F40:T40" xr:uid="{00000000-0002-0000-0A00-000002000000}">
      <formula1>"P,F"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Functions!E17</f>
        <v>UT-007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Functions!D17</f>
        <v>LocalPrivateContentStorage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1377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89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382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6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3</v>
      </c>
      <c r="N7" s="275">
        <f>COUNTIF(F39:T39,"B")</f>
        <v>1</v>
      </c>
      <c r="O7" s="424">
        <f>COUNTA(F9:T9)</f>
        <v>6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115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1261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1262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1263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1264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1265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1266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1267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1268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1269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1270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1271</v>
      </c>
      <c r="C36" s="413"/>
      <c r="D36" s="414"/>
      <c r="E36" s="312"/>
      <c r="F36" s="292"/>
      <c r="G36" s="292"/>
      <c r="H36" s="292"/>
      <c r="I36" s="292"/>
      <c r="J36" s="292" t="s">
        <v>230</v>
      </c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1272</v>
      </c>
      <c r="C37" s="413"/>
      <c r="D37" s="414"/>
      <c r="E37" s="312"/>
      <c r="F37" s="292"/>
      <c r="G37" s="292"/>
      <c r="H37" s="292"/>
      <c r="I37" s="292"/>
      <c r="J37" s="292"/>
      <c r="K37" s="292" t="s">
        <v>230</v>
      </c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199</v>
      </c>
      <c r="I39" s="320" t="s">
        <v>200</v>
      </c>
      <c r="J39" s="320" t="s">
        <v>198</v>
      </c>
      <c r="K39" s="320" t="s">
        <v>199</v>
      </c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383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384</v>
      </c>
      <c r="B46" s="411" t="s">
        <v>385</v>
      </c>
      <c r="C46" s="411"/>
      <c r="D46" s="411"/>
      <c r="E46" s="411"/>
      <c r="F46" s="411"/>
      <c r="G46" s="411"/>
      <c r="H46" s="411"/>
      <c r="I46" s="411"/>
      <c r="J46" s="411"/>
      <c r="K46" s="411" t="s">
        <v>386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387</v>
      </c>
      <c r="B47" s="416" t="s">
        <v>385</v>
      </c>
      <c r="C47" s="416"/>
      <c r="D47" s="416"/>
      <c r="E47" s="416"/>
      <c r="F47" s="416"/>
      <c r="G47" s="416"/>
      <c r="H47" s="416"/>
      <c r="I47" s="416"/>
      <c r="J47" s="416"/>
      <c r="K47" s="416" t="s">
        <v>388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389</v>
      </c>
      <c r="B48" s="411" t="s">
        <v>390</v>
      </c>
      <c r="C48" s="411"/>
      <c r="D48" s="411"/>
      <c r="E48" s="411"/>
      <c r="F48" s="411"/>
      <c r="G48" s="411"/>
      <c r="H48" s="411"/>
      <c r="I48" s="411"/>
      <c r="J48" s="411"/>
      <c r="K48" s="411" t="s">
        <v>391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392</v>
      </c>
      <c r="B49" s="416" t="s">
        <v>390</v>
      </c>
      <c r="C49" s="416"/>
      <c r="D49" s="416"/>
      <c r="E49" s="416"/>
      <c r="F49" s="416"/>
      <c r="G49" s="416"/>
      <c r="H49" s="416"/>
      <c r="I49" s="416"/>
      <c r="J49" s="416"/>
      <c r="K49" s="416" t="s">
        <v>393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394</v>
      </c>
      <c r="B50" s="411" t="s">
        <v>395</v>
      </c>
      <c r="C50" s="411"/>
      <c r="D50" s="411"/>
      <c r="E50" s="411"/>
      <c r="F50" s="411"/>
      <c r="G50" s="411"/>
      <c r="H50" s="411"/>
      <c r="I50" s="411"/>
      <c r="J50" s="411"/>
      <c r="K50" s="411" t="s">
        <v>396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397</v>
      </c>
      <c r="B51" s="416" t="s">
        <v>395</v>
      </c>
      <c r="C51" s="416"/>
      <c r="D51" s="416"/>
      <c r="E51" s="416"/>
      <c r="F51" s="416"/>
      <c r="G51" s="416"/>
      <c r="H51" s="416"/>
      <c r="I51" s="416"/>
      <c r="J51" s="416"/>
      <c r="K51" s="416" t="s">
        <v>398</v>
      </c>
      <c r="L51" s="416"/>
      <c r="M51" s="416"/>
      <c r="N51" s="416"/>
      <c r="O51" s="416"/>
      <c r="P51" s="416"/>
      <c r="Q51" s="416"/>
      <c r="R51" s="416"/>
      <c r="S51" s="416"/>
      <c r="T51" s="416"/>
    </row>
  </sheetData>
  <mergeCells count="55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18:D18"/>
    <mergeCell ref="B19:D19"/>
    <mergeCell ref="B20:D20"/>
    <mergeCell ref="B32:D32"/>
    <mergeCell ref="B33:D33"/>
    <mergeCell ref="B34:D34"/>
    <mergeCell ref="B35:D35"/>
    <mergeCell ref="B51:J51"/>
    <mergeCell ref="K51:T51"/>
    <mergeCell ref="B46:J46"/>
    <mergeCell ref="K46:T46"/>
    <mergeCell ref="B47:J47"/>
    <mergeCell ref="K47:T47"/>
    <mergeCell ref="B48:J48"/>
    <mergeCell ref="K48:T48"/>
    <mergeCell ref="B36:D36"/>
    <mergeCell ref="B37:D37"/>
    <mergeCell ref="B49:J49"/>
    <mergeCell ref="K49:T49"/>
    <mergeCell ref="B50:J50"/>
    <mergeCell ref="K50:T50"/>
    <mergeCell ref="B40:D40"/>
    <mergeCell ref="B41:D41"/>
    <mergeCell ref="B42:D42"/>
    <mergeCell ref="A44:T44"/>
    <mergeCell ref="B45:J45"/>
    <mergeCell ref="K45:T45"/>
  </mergeCells>
  <dataValidations count="3">
    <dataValidation type="list" sqref="F10:T38" xr:uid="{00000000-0002-0000-0B00-000000000000}">
      <formula1>"O,"</formula1>
      <formula2>0</formula2>
    </dataValidation>
    <dataValidation type="list" sqref="F39:T39" xr:uid="{00000000-0002-0000-0B00-000001000000}">
      <formula1>"N,A,B"</formula1>
      <formula2>0</formula2>
    </dataValidation>
    <dataValidation type="list" sqref="F40:T40" xr:uid="{00000000-0002-0000-0B00-000002000000}">
      <formula1>"P,F"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2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Functions!E18</f>
        <v>UT-008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Functions!D18</f>
        <v>apiRequestPolicy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1374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98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399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7</v>
      </c>
      <c r="G7" s="423"/>
      <c r="H7" s="423"/>
      <c r="I7" s="423"/>
      <c r="J7" s="423"/>
      <c r="K7" s="423"/>
      <c r="L7" s="275">
        <f>COUNTIF(F39:T39,"N")</f>
        <v>4</v>
      </c>
      <c r="M7" s="275">
        <f>COUNTIF(F39:T39,"A")</f>
        <v>2</v>
      </c>
      <c r="N7" s="275">
        <f>COUNTIF(F39:T39,"B")</f>
        <v>1</v>
      </c>
      <c r="O7" s="424">
        <f>COUNTA(F9:T9)</f>
        <v>7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121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 t="s">
        <v>230</v>
      </c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1273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1274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1275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1276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1277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1278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24.95" customHeight="1">
      <c r="A21" s="288"/>
      <c r="B21" s="412" t="s">
        <v>1279</v>
      </c>
      <c r="C21" s="413"/>
      <c r="D21" s="414"/>
      <c r="E21" s="295"/>
      <c r="F21" s="292"/>
      <c r="G21" s="292"/>
      <c r="H21" s="292"/>
      <c r="I21" s="292"/>
      <c r="J21" s="292"/>
      <c r="K21" s="292"/>
      <c r="L21" s="292" t="s">
        <v>230</v>
      </c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1280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1281</v>
      </c>
      <c r="C33" s="413"/>
      <c r="D33" s="414"/>
      <c r="E33" s="312"/>
      <c r="F33" s="292"/>
      <c r="G33" s="292" t="s">
        <v>230</v>
      </c>
      <c r="H33" s="292"/>
      <c r="I33" s="292"/>
      <c r="J33" s="292" t="s">
        <v>230</v>
      </c>
      <c r="K33" s="292" t="s">
        <v>230</v>
      </c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1282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1283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 t="s">
        <v>230</v>
      </c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198</v>
      </c>
      <c r="H39" s="320" t="s">
        <v>200</v>
      </c>
      <c r="I39" s="320" t="s">
        <v>199</v>
      </c>
      <c r="J39" s="320" t="s">
        <v>198</v>
      </c>
      <c r="K39" s="320" t="s">
        <v>198</v>
      </c>
      <c r="L39" s="320" t="s">
        <v>199</v>
      </c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400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401</v>
      </c>
      <c r="B46" s="411" t="s">
        <v>402</v>
      </c>
      <c r="C46" s="411"/>
      <c r="D46" s="411"/>
      <c r="E46" s="411"/>
      <c r="F46" s="411"/>
      <c r="G46" s="411"/>
      <c r="H46" s="411"/>
      <c r="I46" s="411"/>
      <c r="J46" s="411"/>
      <c r="K46" s="411" t="s">
        <v>403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404</v>
      </c>
      <c r="B47" s="416" t="s">
        <v>405</v>
      </c>
      <c r="C47" s="416"/>
      <c r="D47" s="416"/>
      <c r="E47" s="416"/>
      <c r="F47" s="416"/>
      <c r="G47" s="416"/>
      <c r="H47" s="416"/>
      <c r="I47" s="416"/>
      <c r="J47" s="416"/>
      <c r="K47" s="416" t="s">
        <v>406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407</v>
      </c>
      <c r="B48" s="411" t="s">
        <v>408</v>
      </c>
      <c r="C48" s="411"/>
      <c r="D48" s="411"/>
      <c r="E48" s="411"/>
      <c r="F48" s="411"/>
      <c r="G48" s="411"/>
      <c r="H48" s="411"/>
      <c r="I48" s="411"/>
      <c r="J48" s="411"/>
      <c r="K48" s="411" t="s">
        <v>409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410</v>
      </c>
      <c r="B49" s="416" t="s">
        <v>411</v>
      </c>
      <c r="C49" s="416"/>
      <c r="D49" s="416"/>
      <c r="E49" s="416"/>
      <c r="F49" s="416"/>
      <c r="G49" s="416"/>
      <c r="H49" s="416"/>
      <c r="I49" s="416"/>
      <c r="J49" s="416"/>
      <c r="K49" s="416" t="s">
        <v>412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413</v>
      </c>
      <c r="B50" s="411" t="s">
        <v>414</v>
      </c>
      <c r="C50" s="411"/>
      <c r="D50" s="411"/>
      <c r="E50" s="411"/>
      <c r="F50" s="411"/>
      <c r="G50" s="411"/>
      <c r="H50" s="411"/>
      <c r="I50" s="411"/>
      <c r="J50" s="411"/>
      <c r="K50" s="411" t="s">
        <v>415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416</v>
      </c>
      <c r="B51" s="416" t="s">
        <v>417</v>
      </c>
      <c r="C51" s="416"/>
      <c r="D51" s="416"/>
      <c r="E51" s="416"/>
      <c r="F51" s="416"/>
      <c r="G51" s="416"/>
      <c r="H51" s="416"/>
      <c r="I51" s="416"/>
      <c r="J51" s="416"/>
      <c r="K51" s="416" t="s">
        <v>418</v>
      </c>
      <c r="L51" s="416"/>
      <c r="M51" s="416"/>
      <c r="N51" s="416"/>
      <c r="O51" s="416"/>
      <c r="P51" s="416"/>
      <c r="Q51" s="416"/>
      <c r="R51" s="416"/>
      <c r="S51" s="416"/>
      <c r="T51" s="416"/>
    </row>
    <row r="52" spans="1:20" ht="33.950000000000003" customHeight="1">
      <c r="A52" s="333" t="s">
        <v>419</v>
      </c>
      <c r="B52" s="411" t="s">
        <v>420</v>
      </c>
      <c r="C52" s="411"/>
      <c r="D52" s="411"/>
      <c r="E52" s="411"/>
      <c r="F52" s="411"/>
      <c r="G52" s="411"/>
      <c r="H52" s="411"/>
      <c r="I52" s="411"/>
      <c r="J52" s="411"/>
      <c r="K52" s="411" t="s">
        <v>421</v>
      </c>
      <c r="L52" s="411"/>
      <c r="M52" s="411"/>
      <c r="N52" s="411"/>
      <c r="O52" s="411"/>
      <c r="P52" s="411"/>
      <c r="Q52" s="411"/>
      <c r="R52" s="411"/>
      <c r="S52" s="411"/>
      <c r="T52" s="411"/>
    </row>
  </sheetData>
  <mergeCells count="56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0:D40"/>
    <mergeCell ref="B41:D41"/>
    <mergeCell ref="B42:D42"/>
    <mergeCell ref="A44:T44"/>
    <mergeCell ref="B45:J45"/>
    <mergeCell ref="K45:T45"/>
    <mergeCell ref="B50:J50"/>
    <mergeCell ref="K50:T50"/>
    <mergeCell ref="B51:J51"/>
    <mergeCell ref="K51:T51"/>
    <mergeCell ref="B46:J46"/>
    <mergeCell ref="K46:T46"/>
    <mergeCell ref="B47:J47"/>
    <mergeCell ref="K47:T47"/>
    <mergeCell ref="B48:J48"/>
    <mergeCell ref="K48:T48"/>
    <mergeCell ref="B52:J52"/>
    <mergeCell ref="K52:T52"/>
    <mergeCell ref="B11:D11"/>
    <mergeCell ref="B15:D15"/>
    <mergeCell ref="B16:D16"/>
    <mergeCell ref="B17:D17"/>
    <mergeCell ref="B18:D18"/>
    <mergeCell ref="B19:D19"/>
    <mergeCell ref="B20:D20"/>
    <mergeCell ref="B21:D21"/>
    <mergeCell ref="B32:D32"/>
    <mergeCell ref="B33:D33"/>
    <mergeCell ref="B34:D34"/>
    <mergeCell ref="B35:D35"/>
    <mergeCell ref="B49:J49"/>
    <mergeCell ref="K49:T49"/>
  </mergeCells>
  <dataValidations count="3">
    <dataValidation type="list" sqref="F10:T38" xr:uid="{00000000-0002-0000-0C00-000000000000}">
      <formula1>"O,"</formula1>
      <formula2>0</formula2>
    </dataValidation>
    <dataValidation type="list" sqref="F39:T39" xr:uid="{00000000-0002-0000-0C00-000001000000}">
      <formula1>"N,A,B"</formula1>
      <formula2>0</formula2>
    </dataValidation>
    <dataValidation type="list" sqref="F40:T40" xr:uid="{00000000-0002-0000-0C00-000002000000}">
      <formula1>"P,F"</formula1>
      <formula2>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52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Functions!E19</f>
        <v>UT-009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Functions!D19</f>
        <v>SemanticDocument v1 parser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1375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12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422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7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5</v>
      </c>
      <c r="N7" s="275">
        <f>COUNTIF(F39:T39,"B")</f>
        <v>1</v>
      </c>
      <c r="O7" s="424">
        <f>COUNTA(F9:T9)</f>
        <v>7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127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 t="s">
        <v>230</v>
      </c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1284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1285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1286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1287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1288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1289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24.95" customHeight="1">
      <c r="A21" s="288"/>
      <c r="B21" s="412" t="s">
        <v>1290</v>
      </c>
      <c r="C21" s="413"/>
      <c r="D21" s="414"/>
      <c r="E21" s="295"/>
      <c r="F21" s="292"/>
      <c r="G21" s="292"/>
      <c r="H21" s="292"/>
      <c r="I21" s="292"/>
      <c r="J21" s="292"/>
      <c r="K21" s="292"/>
      <c r="L21" s="292" t="s">
        <v>230</v>
      </c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1291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1292</v>
      </c>
      <c r="C33" s="413"/>
      <c r="D33" s="414"/>
      <c r="E33" s="312"/>
      <c r="F33" s="292"/>
      <c r="G33" s="292" t="s">
        <v>230</v>
      </c>
      <c r="H33" s="292" t="s">
        <v>230</v>
      </c>
      <c r="I33" s="292"/>
      <c r="J33" s="292"/>
      <c r="K33" s="292" t="s">
        <v>230</v>
      </c>
      <c r="L33" s="292" t="s">
        <v>230</v>
      </c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1293</v>
      </c>
      <c r="C34" s="413"/>
      <c r="D34" s="414"/>
      <c r="E34" s="312"/>
      <c r="F34" s="292"/>
      <c r="G34" s="292"/>
      <c r="H34" s="292"/>
      <c r="I34" s="292" t="s">
        <v>230</v>
      </c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1294</v>
      </c>
      <c r="C35" s="413"/>
      <c r="D35" s="414"/>
      <c r="E35" s="312"/>
      <c r="F35" s="292"/>
      <c r="G35" s="292"/>
      <c r="H35" s="292"/>
      <c r="I35" s="292"/>
      <c r="J35" s="292" t="s">
        <v>230</v>
      </c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199</v>
      </c>
      <c r="I39" s="320" t="s">
        <v>200</v>
      </c>
      <c r="J39" s="320" t="s">
        <v>199</v>
      </c>
      <c r="K39" s="320" t="s">
        <v>199</v>
      </c>
      <c r="L39" s="320" t="s">
        <v>199</v>
      </c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423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424</v>
      </c>
      <c r="B46" s="411" t="s">
        <v>425</v>
      </c>
      <c r="C46" s="411"/>
      <c r="D46" s="411"/>
      <c r="E46" s="411"/>
      <c r="F46" s="411"/>
      <c r="G46" s="411"/>
      <c r="H46" s="411"/>
      <c r="I46" s="411"/>
      <c r="J46" s="411"/>
      <c r="K46" s="411" t="s">
        <v>426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427</v>
      </c>
      <c r="B47" s="416" t="s">
        <v>428</v>
      </c>
      <c r="C47" s="416"/>
      <c r="D47" s="416"/>
      <c r="E47" s="416"/>
      <c r="F47" s="416"/>
      <c r="G47" s="416"/>
      <c r="H47" s="416"/>
      <c r="I47" s="416"/>
      <c r="J47" s="416"/>
      <c r="K47" s="416" t="s">
        <v>429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430</v>
      </c>
      <c r="B48" s="411" t="s">
        <v>428</v>
      </c>
      <c r="C48" s="411"/>
      <c r="D48" s="411"/>
      <c r="E48" s="411"/>
      <c r="F48" s="411"/>
      <c r="G48" s="411"/>
      <c r="H48" s="411"/>
      <c r="I48" s="411"/>
      <c r="J48" s="411"/>
      <c r="K48" s="411" t="s">
        <v>431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432</v>
      </c>
      <c r="B49" s="416" t="s">
        <v>433</v>
      </c>
      <c r="C49" s="416"/>
      <c r="D49" s="416"/>
      <c r="E49" s="416"/>
      <c r="F49" s="416"/>
      <c r="G49" s="416"/>
      <c r="H49" s="416"/>
      <c r="I49" s="416"/>
      <c r="J49" s="416"/>
      <c r="K49" s="416" t="s">
        <v>434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435</v>
      </c>
      <c r="B50" s="411" t="s">
        <v>433</v>
      </c>
      <c r="C50" s="411"/>
      <c r="D50" s="411"/>
      <c r="E50" s="411"/>
      <c r="F50" s="411"/>
      <c r="G50" s="411"/>
      <c r="H50" s="411"/>
      <c r="I50" s="411"/>
      <c r="J50" s="411"/>
      <c r="K50" s="411" t="s">
        <v>436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437</v>
      </c>
      <c r="B51" s="416" t="s">
        <v>438</v>
      </c>
      <c r="C51" s="416"/>
      <c r="D51" s="416"/>
      <c r="E51" s="416"/>
      <c r="F51" s="416"/>
      <c r="G51" s="416"/>
      <c r="H51" s="416"/>
      <c r="I51" s="416"/>
      <c r="J51" s="416"/>
      <c r="K51" s="416" t="s">
        <v>439</v>
      </c>
      <c r="L51" s="416"/>
      <c r="M51" s="416"/>
      <c r="N51" s="416"/>
      <c r="O51" s="416"/>
      <c r="P51" s="416"/>
      <c r="Q51" s="416"/>
      <c r="R51" s="416"/>
      <c r="S51" s="416"/>
      <c r="T51" s="416"/>
    </row>
    <row r="52" spans="1:20" ht="33.950000000000003" customHeight="1">
      <c r="A52" s="333" t="s">
        <v>440</v>
      </c>
      <c r="B52" s="411" t="s">
        <v>441</v>
      </c>
      <c r="C52" s="411"/>
      <c r="D52" s="411"/>
      <c r="E52" s="411"/>
      <c r="F52" s="411"/>
      <c r="G52" s="411"/>
      <c r="H52" s="411"/>
      <c r="I52" s="411"/>
      <c r="J52" s="411"/>
      <c r="K52" s="411" t="s">
        <v>442</v>
      </c>
      <c r="L52" s="411"/>
      <c r="M52" s="411"/>
      <c r="N52" s="411"/>
      <c r="O52" s="411"/>
      <c r="P52" s="411"/>
      <c r="Q52" s="411"/>
      <c r="R52" s="411"/>
      <c r="S52" s="411"/>
      <c r="T52" s="411"/>
    </row>
  </sheetData>
  <mergeCells count="56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0:D40"/>
    <mergeCell ref="B41:D41"/>
    <mergeCell ref="B42:D42"/>
    <mergeCell ref="A44:T44"/>
    <mergeCell ref="B45:J45"/>
    <mergeCell ref="K45:T45"/>
    <mergeCell ref="B50:J50"/>
    <mergeCell ref="K50:T50"/>
    <mergeCell ref="B51:J51"/>
    <mergeCell ref="K51:T51"/>
    <mergeCell ref="B46:J46"/>
    <mergeCell ref="K46:T46"/>
    <mergeCell ref="B47:J47"/>
    <mergeCell ref="K47:T47"/>
    <mergeCell ref="B48:J48"/>
    <mergeCell ref="K48:T48"/>
    <mergeCell ref="B52:J52"/>
    <mergeCell ref="K52:T52"/>
    <mergeCell ref="B11:D11"/>
    <mergeCell ref="B15:D15"/>
    <mergeCell ref="B16:D16"/>
    <mergeCell ref="B17:D17"/>
    <mergeCell ref="B18:D18"/>
    <mergeCell ref="B19:D19"/>
    <mergeCell ref="B20:D20"/>
    <mergeCell ref="B21:D21"/>
    <mergeCell ref="B32:D32"/>
    <mergeCell ref="B33:D33"/>
    <mergeCell ref="B34:D34"/>
    <mergeCell ref="B35:D35"/>
    <mergeCell ref="B49:J49"/>
    <mergeCell ref="K49:T49"/>
  </mergeCells>
  <dataValidations count="3">
    <dataValidation type="list" sqref="F10:T38" xr:uid="{00000000-0002-0000-0D00-000000000000}">
      <formula1>"O,"</formula1>
      <formula2>0</formula2>
    </dataValidation>
    <dataValidation type="list" sqref="F39:T39" xr:uid="{00000000-0002-0000-0D00-000001000000}">
      <formula1>"N,A,B"</formula1>
      <formula2>0</formula2>
    </dataValidation>
    <dataValidation type="list" sqref="F40:T40" xr:uid="{00000000-0002-0000-0D00-000002000000}">
      <formula1>"P,F"</formula1>
      <formula2>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3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Functions!E20</f>
        <v>UT-010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Functions!D20</f>
        <v>notePreviewReducer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1374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37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443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8</v>
      </c>
      <c r="G7" s="423"/>
      <c r="H7" s="423"/>
      <c r="I7" s="423"/>
      <c r="J7" s="423"/>
      <c r="K7" s="423"/>
      <c r="L7" s="275">
        <f>COUNTIF(F39:T39,"N")</f>
        <v>5</v>
      </c>
      <c r="M7" s="275">
        <f>COUNTIF(F39:T39,"A")</f>
        <v>1</v>
      </c>
      <c r="N7" s="275">
        <f>COUNTIF(F39:T39,"B")</f>
        <v>2</v>
      </c>
      <c r="O7" s="424">
        <f>COUNTA(F9:T9)</f>
        <v>8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 t="s">
        <v>226</v>
      </c>
      <c r="M9" s="113" t="s">
        <v>227</v>
      </c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133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 t="s">
        <v>230</v>
      </c>
      <c r="M11" s="292" t="s">
        <v>230</v>
      </c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1295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1296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1297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1298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1299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1300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24.95" customHeight="1">
      <c r="A21" s="288"/>
      <c r="B21" s="412" t="s">
        <v>1301</v>
      </c>
      <c r="C21" s="413"/>
      <c r="D21" s="414"/>
      <c r="E21" s="295"/>
      <c r="F21" s="292"/>
      <c r="G21" s="292"/>
      <c r="H21" s="292"/>
      <c r="I21" s="292"/>
      <c r="J21" s="292"/>
      <c r="K21" s="292"/>
      <c r="L21" s="292" t="s">
        <v>230</v>
      </c>
      <c r="M21" s="292"/>
      <c r="N21" s="292"/>
      <c r="O21" s="292"/>
      <c r="P21" s="292"/>
      <c r="Q21" s="292"/>
      <c r="R21" s="292"/>
      <c r="S21" s="292"/>
      <c r="T21" s="293"/>
    </row>
    <row r="22" spans="1:20" ht="24.95" customHeight="1">
      <c r="A22" s="288"/>
      <c r="B22" s="412" t="s">
        <v>1302</v>
      </c>
      <c r="C22" s="413"/>
      <c r="D22" s="414"/>
      <c r="E22" s="295"/>
      <c r="F22" s="292"/>
      <c r="G22" s="292"/>
      <c r="H22" s="292"/>
      <c r="I22" s="292"/>
      <c r="J22" s="292"/>
      <c r="K22" s="292"/>
      <c r="L22" s="292"/>
      <c r="M22" s="292" t="s">
        <v>230</v>
      </c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1303</v>
      </c>
      <c r="C32" s="413"/>
      <c r="D32" s="414"/>
      <c r="E32" s="310"/>
      <c r="F32" s="292" t="s">
        <v>230</v>
      </c>
      <c r="G32" s="292"/>
      <c r="H32" s="292" t="s">
        <v>230</v>
      </c>
      <c r="I32" s="292"/>
      <c r="J32" s="292" t="s">
        <v>230</v>
      </c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1304</v>
      </c>
      <c r="C33" s="413"/>
      <c r="D33" s="414"/>
      <c r="E33" s="31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1305</v>
      </c>
      <c r="C34" s="413"/>
      <c r="D34" s="414"/>
      <c r="E34" s="31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1306</v>
      </c>
      <c r="C35" s="413"/>
      <c r="D35" s="414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1307</v>
      </c>
      <c r="C36" s="413"/>
      <c r="D36" s="414"/>
      <c r="E36" s="312"/>
      <c r="F36" s="292"/>
      <c r="G36" s="292" t="s">
        <v>230</v>
      </c>
      <c r="H36" s="292"/>
      <c r="I36" s="292" t="s">
        <v>230</v>
      </c>
      <c r="J36" s="292"/>
      <c r="K36" s="292"/>
      <c r="L36" s="292" t="s">
        <v>230</v>
      </c>
      <c r="M36" s="292" t="s">
        <v>230</v>
      </c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1308</v>
      </c>
      <c r="C37" s="413"/>
      <c r="D37" s="414"/>
      <c r="E37" s="312"/>
      <c r="F37" s="292"/>
      <c r="G37" s="292"/>
      <c r="H37" s="292"/>
      <c r="I37" s="292"/>
      <c r="J37" s="292"/>
      <c r="K37" s="292" t="s">
        <v>230</v>
      </c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23.1" customHeight="1">
      <c r="A38" s="307"/>
      <c r="B38" s="440" t="s">
        <v>1309</v>
      </c>
      <c r="C38" s="441"/>
      <c r="D38" s="442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198</v>
      </c>
      <c r="H39" s="320" t="s">
        <v>200</v>
      </c>
      <c r="I39" s="320" t="s">
        <v>198</v>
      </c>
      <c r="J39" s="320" t="s">
        <v>198</v>
      </c>
      <c r="K39" s="320" t="s">
        <v>199</v>
      </c>
      <c r="L39" s="320" t="s">
        <v>198</v>
      </c>
      <c r="M39" s="320" t="s">
        <v>200</v>
      </c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444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445</v>
      </c>
      <c r="B46" s="411" t="s">
        <v>446</v>
      </c>
      <c r="C46" s="411"/>
      <c r="D46" s="411"/>
      <c r="E46" s="411"/>
      <c r="F46" s="411"/>
      <c r="G46" s="411"/>
      <c r="H46" s="411"/>
      <c r="I46" s="411"/>
      <c r="J46" s="411"/>
      <c r="K46" s="411" t="s">
        <v>447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448</v>
      </c>
      <c r="B47" s="416" t="s">
        <v>449</v>
      </c>
      <c r="C47" s="416"/>
      <c r="D47" s="416"/>
      <c r="E47" s="416"/>
      <c r="F47" s="416"/>
      <c r="G47" s="416"/>
      <c r="H47" s="416"/>
      <c r="I47" s="416"/>
      <c r="J47" s="416"/>
      <c r="K47" s="416" t="s">
        <v>450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451</v>
      </c>
      <c r="B48" s="411" t="s">
        <v>452</v>
      </c>
      <c r="C48" s="411"/>
      <c r="D48" s="411"/>
      <c r="E48" s="411"/>
      <c r="F48" s="411"/>
      <c r="G48" s="411"/>
      <c r="H48" s="411"/>
      <c r="I48" s="411"/>
      <c r="J48" s="411"/>
      <c r="K48" s="411" t="s">
        <v>453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454</v>
      </c>
      <c r="B49" s="416" t="s">
        <v>455</v>
      </c>
      <c r="C49" s="416"/>
      <c r="D49" s="416"/>
      <c r="E49" s="416"/>
      <c r="F49" s="416"/>
      <c r="G49" s="416"/>
      <c r="H49" s="416"/>
      <c r="I49" s="416"/>
      <c r="J49" s="416"/>
      <c r="K49" s="416" t="s">
        <v>456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457</v>
      </c>
      <c r="B50" s="411" t="s">
        <v>458</v>
      </c>
      <c r="C50" s="411"/>
      <c r="D50" s="411"/>
      <c r="E50" s="411"/>
      <c r="F50" s="411"/>
      <c r="G50" s="411"/>
      <c r="H50" s="411"/>
      <c r="I50" s="411"/>
      <c r="J50" s="411"/>
      <c r="K50" s="411" t="s">
        <v>459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460</v>
      </c>
      <c r="B51" s="416" t="s">
        <v>461</v>
      </c>
      <c r="C51" s="416"/>
      <c r="D51" s="416"/>
      <c r="E51" s="416"/>
      <c r="F51" s="416"/>
      <c r="G51" s="416"/>
      <c r="H51" s="416"/>
      <c r="I51" s="416"/>
      <c r="J51" s="416"/>
      <c r="K51" s="416" t="s">
        <v>462</v>
      </c>
      <c r="L51" s="416"/>
      <c r="M51" s="416"/>
      <c r="N51" s="416"/>
      <c r="O51" s="416"/>
      <c r="P51" s="416"/>
      <c r="Q51" s="416"/>
      <c r="R51" s="416"/>
      <c r="S51" s="416"/>
      <c r="T51" s="416"/>
    </row>
    <row r="52" spans="1:20" ht="33.950000000000003" customHeight="1">
      <c r="A52" s="333" t="s">
        <v>463</v>
      </c>
      <c r="B52" s="411" t="s">
        <v>464</v>
      </c>
      <c r="C52" s="411"/>
      <c r="D52" s="411"/>
      <c r="E52" s="411"/>
      <c r="F52" s="411"/>
      <c r="G52" s="411"/>
      <c r="H52" s="411"/>
      <c r="I52" s="411"/>
      <c r="J52" s="411"/>
      <c r="K52" s="411" t="s">
        <v>465</v>
      </c>
      <c r="L52" s="411"/>
      <c r="M52" s="411"/>
      <c r="N52" s="411"/>
      <c r="O52" s="411"/>
      <c r="P52" s="411"/>
      <c r="Q52" s="411"/>
      <c r="R52" s="411"/>
      <c r="S52" s="411"/>
      <c r="T52" s="411"/>
    </row>
    <row r="53" spans="1:20" ht="33.950000000000003" customHeight="1">
      <c r="A53" s="334" t="s">
        <v>466</v>
      </c>
      <c r="B53" s="416" t="s">
        <v>467</v>
      </c>
      <c r="C53" s="416"/>
      <c r="D53" s="416"/>
      <c r="E53" s="416"/>
      <c r="F53" s="416"/>
      <c r="G53" s="416"/>
      <c r="H53" s="416"/>
      <c r="I53" s="416"/>
      <c r="J53" s="416"/>
      <c r="K53" s="416" t="s">
        <v>468</v>
      </c>
      <c r="L53" s="416"/>
      <c r="M53" s="416"/>
      <c r="N53" s="416"/>
      <c r="O53" s="416"/>
      <c r="P53" s="416"/>
      <c r="Q53" s="416"/>
      <c r="R53" s="416"/>
      <c r="S53" s="416"/>
      <c r="T53" s="416"/>
    </row>
  </sheetData>
  <mergeCells count="62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35:D35"/>
    <mergeCell ref="B36:D36"/>
    <mergeCell ref="B37:D37"/>
    <mergeCell ref="B38:D38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  <mergeCell ref="B52:J52"/>
    <mergeCell ref="K52:T52"/>
    <mergeCell ref="B53:J53"/>
    <mergeCell ref="K53:T53"/>
    <mergeCell ref="B11:D11"/>
    <mergeCell ref="B15:D15"/>
    <mergeCell ref="B16:D16"/>
    <mergeCell ref="B17:D17"/>
    <mergeCell ref="B18:D18"/>
    <mergeCell ref="B19:D19"/>
    <mergeCell ref="B20:D20"/>
    <mergeCell ref="B21:D21"/>
    <mergeCell ref="B22:D22"/>
    <mergeCell ref="B32:D32"/>
    <mergeCell ref="B33:D33"/>
    <mergeCell ref="B34:D34"/>
  </mergeCells>
  <dataValidations count="3">
    <dataValidation type="list" sqref="F10:T38" xr:uid="{00000000-0002-0000-0E00-000000000000}">
      <formula1>"O,"</formula1>
      <formula2>0</formula2>
    </dataValidation>
    <dataValidation type="list" sqref="F39:T39" xr:uid="{00000000-0002-0000-0E00-000001000000}">
      <formula1>"N,A,B"</formula1>
      <formula2>0</formula2>
    </dataValidation>
    <dataValidation type="list" sqref="F40:T40" xr:uid="{00000000-0002-0000-0E00-000002000000}">
      <formula1>"P,F"</formula1>
      <formula2>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50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Functions!E21</f>
        <v>UT-011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Functions!D21</f>
        <v>invitationState / visibleInvitations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1374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13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469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5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1</v>
      </c>
      <c r="N7" s="275">
        <f>COUNTIF(F39:T39,"B")</f>
        <v>2</v>
      </c>
      <c r="O7" s="424">
        <f>COUNTA(F9:T9)</f>
        <v>5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139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1310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1311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1312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1313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1314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1315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1316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1317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1318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1319</v>
      </c>
      <c r="C36" s="413"/>
      <c r="D36" s="414"/>
      <c r="E36" s="312"/>
      <c r="F36" s="292"/>
      <c r="G36" s="292"/>
      <c r="H36" s="292"/>
      <c r="I36" s="292"/>
      <c r="J36" s="292" t="s">
        <v>230</v>
      </c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 t="s">
        <v>198</v>
      </c>
      <c r="I39" s="320" t="s">
        <v>199</v>
      </c>
      <c r="J39" s="320" t="s">
        <v>200</v>
      </c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470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471</v>
      </c>
      <c r="B46" s="411" t="s">
        <v>472</v>
      </c>
      <c r="C46" s="411"/>
      <c r="D46" s="411"/>
      <c r="E46" s="411"/>
      <c r="F46" s="411"/>
      <c r="G46" s="411"/>
      <c r="H46" s="411"/>
      <c r="I46" s="411"/>
      <c r="J46" s="411"/>
      <c r="K46" s="411" t="s">
        <v>473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474</v>
      </c>
      <c r="B47" s="416" t="s">
        <v>472</v>
      </c>
      <c r="C47" s="416"/>
      <c r="D47" s="416"/>
      <c r="E47" s="416"/>
      <c r="F47" s="416"/>
      <c r="G47" s="416"/>
      <c r="H47" s="416"/>
      <c r="I47" s="416"/>
      <c r="J47" s="416"/>
      <c r="K47" s="416" t="s">
        <v>475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476</v>
      </c>
      <c r="B48" s="411" t="s">
        <v>477</v>
      </c>
      <c r="C48" s="411"/>
      <c r="D48" s="411"/>
      <c r="E48" s="411"/>
      <c r="F48" s="411"/>
      <c r="G48" s="411"/>
      <c r="H48" s="411"/>
      <c r="I48" s="411"/>
      <c r="J48" s="411"/>
      <c r="K48" s="411" t="s">
        <v>478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479</v>
      </c>
      <c r="B49" s="416" t="s">
        <v>477</v>
      </c>
      <c r="C49" s="416"/>
      <c r="D49" s="416"/>
      <c r="E49" s="416"/>
      <c r="F49" s="416"/>
      <c r="G49" s="416"/>
      <c r="H49" s="416"/>
      <c r="I49" s="416"/>
      <c r="J49" s="416"/>
      <c r="K49" s="416" t="s">
        <v>480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481</v>
      </c>
      <c r="B50" s="411" t="s">
        <v>482</v>
      </c>
      <c r="C50" s="411"/>
      <c r="D50" s="411"/>
      <c r="E50" s="411"/>
      <c r="F50" s="411"/>
      <c r="G50" s="411"/>
      <c r="H50" s="411"/>
      <c r="I50" s="411"/>
      <c r="J50" s="411"/>
      <c r="K50" s="411" t="s">
        <v>483</v>
      </c>
      <c r="L50" s="411"/>
      <c r="M50" s="411"/>
      <c r="N50" s="411"/>
      <c r="O50" s="411"/>
      <c r="P50" s="411"/>
      <c r="Q50" s="411"/>
      <c r="R50" s="411"/>
      <c r="S50" s="411"/>
      <c r="T50" s="411"/>
    </row>
  </sheetData>
  <mergeCells count="51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0:D40"/>
    <mergeCell ref="B41:D41"/>
    <mergeCell ref="B42:D42"/>
    <mergeCell ref="A44:T44"/>
    <mergeCell ref="B45:J45"/>
    <mergeCell ref="K45:T45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11:D11"/>
    <mergeCell ref="B15:D15"/>
    <mergeCell ref="B16:D16"/>
    <mergeCell ref="B17:D17"/>
    <mergeCell ref="B18:D18"/>
    <mergeCell ref="B19:D19"/>
    <mergeCell ref="B32:D32"/>
    <mergeCell ref="B33:D33"/>
    <mergeCell ref="B34:D34"/>
    <mergeCell ref="B35:D35"/>
    <mergeCell ref="B36:D36"/>
    <mergeCell ref="B46:J46"/>
  </mergeCells>
  <dataValidations count="3">
    <dataValidation type="list" sqref="F10:T38" xr:uid="{00000000-0002-0000-0F00-000000000000}">
      <formula1>"O,"</formula1>
      <formula2>0</formula2>
    </dataValidation>
    <dataValidation type="list" sqref="F39:T39" xr:uid="{00000000-0002-0000-0F00-000001000000}">
      <formula1>"N,A,B"</formula1>
      <formula2>0</formula2>
    </dataValidation>
    <dataValidation type="list" sqref="F40:T40" xr:uid="{00000000-0002-0000-0F00-000002000000}">
      <formula1>"P,F"</formula1>
      <formula2>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48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Functions!E22</f>
        <v>UT-012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Functions!D22</f>
        <v>PermissionAwareAnswerer.answer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/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41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484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3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1</v>
      </c>
      <c r="N7" s="275">
        <f>COUNTIF(F39:T39,"B")</f>
        <v>1</v>
      </c>
      <c r="O7" s="424">
        <f>COUNTA(F9:T9)</f>
        <v>3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145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1320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1321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1322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1323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1324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1325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200</v>
      </c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485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486</v>
      </c>
      <c r="B46" s="411" t="s">
        <v>487</v>
      </c>
      <c r="C46" s="411"/>
      <c r="D46" s="411"/>
      <c r="E46" s="411"/>
      <c r="F46" s="411"/>
      <c r="G46" s="411"/>
      <c r="H46" s="411"/>
      <c r="I46" s="411"/>
      <c r="J46" s="411"/>
      <c r="K46" s="411" t="s">
        <v>488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489</v>
      </c>
      <c r="B47" s="416" t="s">
        <v>490</v>
      </c>
      <c r="C47" s="416"/>
      <c r="D47" s="416"/>
      <c r="E47" s="416"/>
      <c r="F47" s="416"/>
      <c r="G47" s="416"/>
      <c r="H47" s="416"/>
      <c r="I47" s="416"/>
      <c r="J47" s="416"/>
      <c r="K47" s="416" t="s">
        <v>491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492</v>
      </c>
      <c r="B48" s="411" t="s">
        <v>493</v>
      </c>
      <c r="C48" s="411"/>
      <c r="D48" s="411"/>
      <c r="E48" s="411"/>
      <c r="F48" s="411"/>
      <c r="G48" s="411"/>
      <c r="H48" s="411"/>
      <c r="I48" s="411"/>
      <c r="J48" s="411"/>
      <c r="K48" s="411" t="s">
        <v>494</v>
      </c>
      <c r="L48" s="411"/>
      <c r="M48" s="411"/>
      <c r="N48" s="411"/>
      <c r="O48" s="411"/>
      <c r="P48" s="411"/>
      <c r="Q48" s="411"/>
      <c r="R48" s="411"/>
      <c r="S48" s="411"/>
      <c r="T48" s="411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32:D32"/>
    <mergeCell ref="B33:D33"/>
    <mergeCell ref="B34:D34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</mergeCells>
  <dataValidations count="3">
    <dataValidation type="list" sqref="F10:T38" xr:uid="{00000000-0002-0000-1000-000000000000}">
      <formula1>"O,"</formula1>
      <formula2>0</formula2>
    </dataValidation>
    <dataValidation type="list" sqref="F39:T39" xr:uid="{00000000-0002-0000-1000-000001000000}">
      <formula1>"N,A,B"</formula1>
      <formula2>0</formula2>
    </dataValidation>
    <dataValidation type="list" sqref="F40:T40" xr:uid="{00000000-0002-0000-1000-000002000000}">
      <formula1>"P,F"</formula1>
      <formula2>0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47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Functions!E23</f>
        <v>UT-013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Functions!D23</f>
        <v>chunk_markdown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/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86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495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2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0</v>
      </c>
      <c r="N7" s="275">
        <f>COUNTIF(F39:T39,"B")</f>
        <v>1</v>
      </c>
      <c r="O7" s="424">
        <f>COUNTA(F9:T9)</f>
        <v>2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151</v>
      </c>
      <c r="C11" s="413"/>
      <c r="D11" s="414"/>
      <c r="E11" s="285"/>
      <c r="F11" s="292" t="s">
        <v>230</v>
      </c>
      <c r="G11" s="292" t="s">
        <v>230</v>
      </c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1326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1327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15">
      <c r="A17" s="288"/>
      <c r="B17" s="289"/>
      <c r="C17" s="290"/>
      <c r="D17" s="291"/>
      <c r="E17" s="295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1328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1329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15">
      <c r="A34" s="307"/>
      <c r="B34" s="308"/>
      <c r="C34" s="311"/>
      <c r="D34" s="309"/>
      <c r="E34" s="31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/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496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497</v>
      </c>
      <c r="B46" s="411" t="s">
        <v>498</v>
      </c>
      <c r="C46" s="411"/>
      <c r="D46" s="411"/>
      <c r="E46" s="411"/>
      <c r="F46" s="411"/>
      <c r="G46" s="411"/>
      <c r="H46" s="411"/>
      <c r="I46" s="411"/>
      <c r="J46" s="411"/>
      <c r="K46" s="411" t="s">
        <v>499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500</v>
      </c>
      <c r="B47" s="416" t="s">
        <v>501</v>
      </c>
      <c r="C47" s="416"/>
      <c r="D47" s="416"/>
      <c r="E47" s="416"/>
      <c r="F47" s="416"/>
      <c r="G47" s="416"/>
      <c r="H47" s="416"/>
      <c r="I47" s="416"/>
      <c r="J47" s="416"/>
      <c r="K47" s="416" t="s">
        <v>502</v>
      </c>
      <c r="L47" s="416"/>
      <c r="M47" s="416"/>
      <c r="N47" s="416"/>
      <c r="O47" s="416"/>
      <c r="P47" s="416"/>
      <c r="Q47" s="416"/>
      <c r="R47" s="416"/>
      <c r="S47" s="416"/>
      <c r="T47" s="416"/>
    </row>
  </sheetData>
  <mergeCells count="39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6:J46"/>
    <mergeCell ref="K46:T46"/>
    <mergeCell ref="B47:J47"/>
    <mergeCell ref="K47:T47"/>
    <mergeCell ref="B11:D11"/>
    <mergeCell ref="B15:D15"/>
    <mergeCell ref="B16:D16"/>
    <mergeCell ref="B32:D32"/>
    <mergeCell ref="B33:D33"/>
    <mergeCell ref="B40:D40"/>
    <mergeCell ref="B41:D41"/>
    <mergeCell ref="B42:D42"/>
    <mergeCell ref="A44:T44"/>
    <mergeCell ref="B45:J45"/>
    <mergeCell ref="K45:T45"/>
  </mergeCells>
  <dataValidations count="3">
    <dataValidation type="list" sqref="F10:T38" xr:uid="{00000000-0002-0000-1100-000000000000}">
      <formula1>"O,"</formula1>
      <formula2>0</formula2>
    </dataValidation>
    <dataValidation type="list" sqref="F39:T39" xr:uid="{00000000-0002-0000-1100-000001000000}">
      <formula1>"N,A,B"</formula1>
      <formula2>0</formula2>
    </dataValidation>
    <dataValidation type="list" sqref="F40:T40" xr:uid="{00000000-0002-0000-1100-000002000000}">
      <formula1>"P,F"</formula1>
      <formula2>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51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Functions!E24</f>
        <v>UT-014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Functions!D24</f>
        <v>IndexGenerationRequest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/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49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503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6</v>
      </c>
      <c r="G7" s="423"/>
      <c r="H7" s="423"/>
      <c r="I7" s="423"/>
      <c r="J7" s="423"/>
      <c r="K7" s="423"/>
      <c r="L7" s="275">
        <f>COUNTIF(F39:T39,"N")</f>
        <v>3</v>
      </c>
      <c r="M7" s="275">
        <f>COUNTIF(F39:T39,"A")</f>
        <v>2</v>
      </c>
      <c r="N7" s="275">
        <f>COUNTIF(F39:T39,"B")</f>
        <v>1</v>
      </c>
      <c r="O7" s="424">
        <f>COUNTA(F9:T9)</f>
        <v>6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157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1330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1331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1332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1333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1334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1335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1336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1337</v>
      </c>
      <c r="C33" s="413"/>
      <c r="D33" s="414"/>
      <c r="E33" s="312"/>
      <c r="F33" s="292"/>
      <c r="G33" s="292" t="s">
        <v>230</v>
      </c>
      <c r="H33" s="292" t="s">
        <v>230</v>
      </c>
      <c r="I33" s="292" t="s">
        <v>230</v>
      </c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1338</v>
      </c>
      <c r="C34" s="413"/>
      <c r="D34" s="414"/>
      <c r="E34" s="312"/>
      <c r="F34" s="292"/>
      <c r="G34" s="292"/>
      <c r="H34" s="292"/>
      <c r="I34" s="292"/>
      <c r="J34" s="292" t="s">
        <v>230</v>
      </c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1339</v>
      </c>
      <c r="C35" s="413"/>
      <c r="D35" s="414"/>
      <c r="E35" s="312"/>
      <c r="F35" s="292"/>
      <c r="G35" s="292"/>
      <c r="H35" s="292"/>
      <c r="I35" s="292"/>
      <c r="J35" s="292"/>
      <c r="K35" s="292" t="s">
        <v>230</v>
      </c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200</v>
      </c>
      <c r="I39" s="320" t="s">
        <v>199</v>
      </c>
      <c r="J39" s="320" t="s">
        <v>198</v>
      </c>
      <c r="K39" s="320" t="s">
        <v>198</v>
      </c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504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505</v>
      </c>
      <c r="B46" s="411" t="s">
        <v>506</v>
      </c>
      <c r="C46" s="411"/>
      <c r="D46" s="411"/>
      <c r="E46" s="411"/>
      <c r="F46" s="411"/>
      <c r="G46" s="411"/>
      <c r="H46" s="411"/>
      <c r="I46" s="411"/>
      <c r="J46" s="411"/>
      <c r="K46" s="411" t="s">
        <v>507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508</v>
      </c>
      <c r="B47" s="416" t="s">
        <v>509</v>
      </c>
      <c r="C47" s="416"/>
      <c r="D47" s="416"/>
      <c r="E47" s="416"/>
      <c r="F47" s="416"/>
      <c r="G47" s="416"/>
      <c r="H47" s="416"/>
      <c r="I47" s="416"/>
      <c r="J47" s="416"/>
      <c r="K47" s="416" t="s">
        <v>510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511</v>
      </c>
      <c r="B48" s="411" t="s">
        <v>512</v>
      </c>
      <c r="C48" s="411"/>
      <c r="D48" s="411"/>
      <c r="E48" s="411"/>
      <c r="F48" s="411"/>
      <c r="G48" s="411"/>
      <c r="H48" s="411"/>
      <c r="I48" s="411"/>
      <c r="J48" s="411"/>
      <c r="K48" s="411" t="s">
        <v>513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514</v>
      </c>
      <c r="B49" s="416" t="s">
        <v>515</v>
      </c>
      <c r="C49" s="416"/>
      <c r="D49" s="416"/>
      <c r="E49" s="416"/>
      <c r="F49" s="416"/>
      <c r="G49" s="416"/>
      <c r="H49" s="416"/>
      <c r="I49" s="416"/>
      <c r="J49" s="416"/>
      <c r="K49" s="416" t="s">
        <v>516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517</v>
      </c>
      <c r="B50" s="411" t="s">
        <v>518</v>
      </c>
      <c r="C50" s="411"/>
      <c r="D50" s="411"/>
      <c r="E50" s="411"/>
      <c r="F50" s="411"/>
      <c r="G50" s="411"/>
      <c r="H50" s="411"/>
      <c r="I50" s="411"/>
      <c r="J50" s="411"/>
      <c r="K50" s="411" t="s">
        <v>519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520</v>
      </c>
      <c r="B51" s="416" t="s">
        <v>521</v>
      </c>
      <c r="C51" s="416"/>
      <c r="D51" s="416"/>
      <c r="E51" s="416"/>
      <c r="F51" s="416"/>
      <c r="G51" s="416"/>
      <c r="H51" s="416"/>
      <c r="I51" s="416"/>
      <c r="J51" s="416"/>
      <c r="K51" s="416" t="s">
        <v>522</v>
      </c>
      <c r="L51" s="416"/>
      <c r="M51" s="416"/>
      <c r="N51" s="416"/>
      <c r="O51" s="416"/>
      <c r="P51" s="416"/>
      <c r="Q51" s="416"/>
      <c r="R51" s="416"/>
      <c r="S51" s="416"/>
      <c r="T51" s="416"/>
    </row>
  </sheetData>
  <mergeCells count="5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18:D18"/>
    <mergeCell ref="B19:D19"/>
    <mergeCell ref="B20:D20"/>
    <mergeCell ref="B32:D32"/>
    <mergeCell ref="B33:D33"/>
    <mergeCell ref="B34:D34"/>
    <mergeCell ref="B35:D35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  <mergeCell ref="B49:J49"/>
    <mergeCell ref="K49:T49"/>
    <mergeCell ref="B50:J50"/>
    <mergeCell ref="K50:T50"/>
    <mergeCell ref="B51:J51"/>
    <mergeCell ref="K51:T51"/>
  </mergeCells>
  <dataValidations count="3">
    <dataValidation type="list" sqref="F10:T38" xr:uid="{00000000-0002-0000-1200-000000000000}">
      <formula1>"O,"</formula1>
      <formula2>0</formula2>
    </dataValidation>
    <dataValidation type="list" sqref="F39:T39" xr:uid="{00000000-0002-0000-1200-000001000000}">
      <formula1>"N,A,B"</formula1>
      <formula2>0</formula2>
    </dataValidation>
    <dataValidation type="list" sqref="F40:T40" xr:uid="{00000000-0002-0000-1200-000002000000}">
      <formula1>"P,F"</formula1>
      <formula2>0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48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Functions!E25</f>
        <v>UT-015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Functions!D25</f>
        <v>citationPageForSource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10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523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3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1</v>
      </c>
      <c r="N7" s="275">
        <f>COUNTIF(F39:T39,"B")</f>
        <v>1</v>
      </c>
      <c r="O7" s="424">
        <f>COUNTA(F9:T9)</f>
        <v>3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163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1340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1341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1342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1343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1344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1345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 t="s">
        <v>199</v>
      </c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524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525</v>
      </c>
      <c r="B46" s="411" t="s">
        <v>526</v>
      </c>
      <c r="C46" s="411"/>
      <c r="D46" s="411"/>
      <c r="E46" s="411"/>
      <c r="F46" s="411"/>
      <c r="G46" s="411"/>
      <c r="H46" s="411"/>
      <c r="I46" s="411"/>
      <c r="J46" s="411"/>
      <c r="K46" s="411" t="s">
        <v>527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528</v>
      </c>
      <c r="B47" s="416" t="s">
        <v>529</v>
      </c>
      <c r="C47" s="416"/>
      <c r="D47" s="416"/>
      <c r="E47" s="416"/>
      <c r="F47" s="416"/>
      <c r="G47" s="416"/>
      <c r="H47" s="416"/>
      <c r="I47" s="416"/>
      <c r="J47" s="416"/>
      <c r="K47" s="416" t="s">
        <v>530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531</v>
      </c>
      <c r="B48" s="411" t="s">
        <v>529</v>
      </c>
      <c r="C48" s="411"/>
      <c r="D48" s="411"/>
      <c r="E48" s="411"/>
      <c r="F48" s="411"/>
      <c r="G48" s="411"/>
      <c r="H48" s="411"/>
      <c r="I48" s="411"/>
      <c r="J48" s="411"/>
      <c r="K48" s="411" t="s">
        <v>532</v>
      </c>
      <c r="L48" s="411"/>
      <c r="M48" s="411"/>
      <c r="N48" s="411"/>
      <c r="O48" s="411"/>
      <c r="P48" s="411"/>
      <c r="Q48" s="411"/>
      <c r="R48" s="411"/>
      <c r="S48" s="411"/>
      <c r="T48" s="411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32:D32"/>
    <mergeCell ref="B33:D33"/>
    <mergeCell ref="B34:D34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</mergeCells>
  <dataValidations count="3">
    <dataValidation type="list" sqref="F10:T38" xr:uid="{00000000-0002-0000-1300-000000000000}">
      <formula1>"O,"</formula1>
      <formula2>0</formula2>
    </dataValidation>
    <dataValidation type="list" sqref="F39:T39" xr:uid="{00000000-0002-0000-1300-000001000000}">
      <formula1>"N,A,B"</formula1>
      <formula2>0</formula2>
    </dataValidation>
    <dataValidation type="list" sqref="F40:T40" xr:uid="{00000000-0002-0000-1300-000002000000}">
      <formula1>"P,F"</formula1>
      <formula2>0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48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Functions!E26</f>
        <v>UT-016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Functions!D26</f>
        <v>knowledgeAudience selection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1376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14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533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3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1</v>
      </c>
      <c r="N7" s="275">
        <f>COUNTIF(F39:T39,"B")</f>
        <v>1</v>
      </c>
      <c r="O7" s="424">
        <f>COUNTA(F9:T9)</f>
        <v>3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169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1346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1347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1348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1349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1350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1351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200</v>
      </c>
      <c r="H39" s="320" t="s">
        <v>199</v>
      </c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534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535</v>
      </c>
      <c r="B46" s="411" t="s">
        <v>536</v>
      </c>
      <c r="C46" s="411"/>
      <c r="D46" s="411"/>
      <c r="E46" s="411"/>
      <c r="F46" s="411"/>
      <c r="G46" s="411"/>
      <c r="H46" s="411"/>
      <c r="I46" s="411"/>
      <c r="J46" s="411"/>
      <c r="K46" s="411" t="s">
        <v>537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538</v>
      </c>
      <c r="B47" s="416" t="s">
        <v>539</v>
      </c>
      <c r="C47" s="416"/>
      <c r="D47" s="416"/>
      <c r="E47" s="416"/>
      <c r="F47" s="416"/>
      <c r="G47" s="416"/>
      <c r="H47" s="416"/>
      <c r="I47" s="416"/>
      <c r="J47" s="416"/>
      <c r="K47" s="416" t="s">
        <v>540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541</v>
      </c>
      <c r="B48" s="411" t="s">
        <v>542</v>
      </c>
      <c r="C48" s="411"/>
      <c r="D48" s="411"/>
      <c r="E48" s="411"/>
      <c r="F48" s="411"/>
      <c r="G48" s="411"/>
      <c r="H48" s="411"/>
      <c r="I48" s="411"/>
      <c r="J48" s="411"/>
      <c r="K48" s="411" t="s">
        <v>543</v>
      </c>
      <c r="L48" s="411"/>
      <c r="M48" s="411"/>
      <c r="N48" s="411"/>
      <c r="O48" s="411"/>
      <c r="P48" s="411"/>
      <c r="Q48" s="411"/>
      <c r="R48" s="411"/>
      <c r="S48" s="411"/>
      <c r="T48" s="411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32:D32"/>
    <mergeCell ref="B33:D33"/>
    <mergeCell ref="B34:D34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</mergeCells>
  <dataValidations count="3">
    <dataValidation type="list" sqref="F10:T38" xr:uid="{00000000-0002-0000-1400-000000000000}">
      <formula1>"O,"</formula1>
      <formula2>0</formula2>
    </dataValidation>
    <dataValidation type="list" sqref="F39:T39" xr:uid="{00000000-0002-0000-1400-000001000000}">
      <formula1>"N,A,B"</formula1>
      <formula2>0</formula2>
    </dataValidation>
    <dataValidation type="list" sqref="F40:T40" xr:uid="{00000000-0002-0000-1400-000002000000}">
      <formula1>"P,F"</formula1>
      <formula2>0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51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Functions!E27</f>
        <v>UT-017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Functions!D27</f>
        <v>LocalFlow1TestAuthProvider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1377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56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544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6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3</v>
      </c>
      <c r="N7" s="275">
        <f>COUNTIF(F39:T39,"B")</f>
        <v>1</v>
      </c>
      <c r="O7" s="424">
        <f>COUNTA(F9:T9)</f>
        <v>6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 t="s">
        <v>223</v>
      </c>
      <c r="J9" s="113" t="s">
        <v>224</v>
      </c>
      <c r="K9" s="113" t="s">
        <v>225</v>
      </c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175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 t="s">
        <v>230</v>
      </c>
      <c r="J11" s="292" t="s">
        <v>230</v>
      </c>
      <c r="K11" s="292" t="s">
        <v>230</v>
      </c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1352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1353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1354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24.95" customHeight="1">
      <c r="A18" s="288"/>
      <c r="B18" s="412" t="s">
        <v>1355</v>
      </c>
      <c r="C18" s="413"/>
      <c r="D18" s="414"/>
      <c r="E18" s="295"/>
      <c r="F18" s="292"/>
      <c r="G18" s="292"/>
      <c r="H18" s="292"/>
      <c r="I18" s="292" t="s">
        <v>230</v>
      </c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24.95" customHeight="1">
      <c r="A19" s="288"/>
      <c r="B19" s="412" t="s">
        <v>1356</v>
      </c>
      <c r="C19" s="413"/>
      <c r="D19" s="415"/>
      <c r="E19" s="271"/>
      <c r="F19" s="292"/>
      <c r="G19" s="292"/>
      <c r="H19" s="292"/>
      <c r="I19" s="292"/>
      <c r="J19" s="292" t="s">
        <v>230</v>
      </c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24.95" customHeight="1">
      <c r="A20" s="288"/>
      <c r="B20" s="412" t="s">
        <v>1357</v>
      </c>
      <c r="C20" s="413"/>
      <c r="D20" s="414"/>
      <c r="E20" s="295"/>
      <c r="F20" s="292"/>
      <c r="G20" s="292"/>
      <c r="H20" s="292"/>
      <c r="I20" s="292"/>
      <c r="J20" s="292"/>
      <c r="K20" s="292" t="s">
        <v>230</v>
      </c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1358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1359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1360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23.1" customHeight="1">
      <c r="A35" s="307"/>
      <c r="B35" s="412" t="s">
        <v>1361</v>
      </c>
      <c r="C35" s="413"/>
      <c r="D35" s="414"/>
      <c r="E35" s="312"/>
      <c r="F35" s="292"/>
      <c r="G35" s="292"/>
      <c r="H35" s="292"/>
      <c r="I35" s="292" t="s">
        <v>230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23.1" customHeight="1">
      <c r="A36" s="307"/>
      <c r="B36" s="412" t="s">
        <v>1362</v>
      </c>
      <c r="C36" s="413"/>
      <c r="D36" s="414"/>
      <c r="E36" s="312"/>
      <c r="F36" s="292"/>
      <c r="G36" s="292"/>
      <c r="H36" s="292"/>
      <c r="I36" s="292"/>
      <c r="J36" s="292" t="s">
        <v>230</v>
      </c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23.1" customHeight="1">
      <c r="A37" s="307"/>
      <c r="B37" s="412" t="s">
        <v>1363</v>
      </c>
      <c r="C37" s="413"/>
      <c r="D37" s="414"/>
      <c r="E37" s="312"/>
      <c r="F37" s="292"/>
      <c r="G37" s="292"/>
      <c r="H37" s="292"/>
      <c r="I37" s="292"/>
      <c r="J37" s="292"/>
      <c r="K37" s="292" t="s">
        <v>230</v>
      </c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199</v>
      </c>
      <c r="H39" s="320" t="s">
        <v>198</v>
      </c>
      <c r="I39" s="320" t="s">
        <v>199</v>
      </c>
      <c r="J39" s="320" t="s">
        <v>200</v>
      </c>
      <c r="K39" s="320" t="s">
        <v>199</v>
      </c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545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546</v>
      </c>
      <c r="B46" s="411" t="s">
        <v>547</v>
      </c>
      <c r="C46" s="411"/>
      <c r="D46" s="411"/>
      <c r="E46" s="411"/>
      <c r="F46" s="411"/>
      <c r="G46" s="411"/>
      <c r="H46" s="411"/>
      <c r="I46" s="411"/>
      <c r="J46" s="411"/>
      <c r="K46" s="411" t="s">
        <v>548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549</v>
      </c>
      <c r="B47" s="416" t="s">
        <v>547</v>
      </c>
      <c r="C47" s="416"/>
      <c r="D47" s="416"/>
      <c r="E47" s="416"/>
      <c r="F47" s="416"/>
      <c r="G47" s="416"/>
      <c r="H47" s="416"/>
      <c r="I47" s="416"/>
      <c r="J47" s="416"/>
      <c r="K47" s="416" t="s">
        <v>550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551</v>
      </c>
      <c r="B48" s="411" t="s">
        <v>552</v>
      </c>
      <c r="C48" s="411"/>
      <c r="D48" s="411"/>
      <c r="E48" s="411"/>
      <c r="F48" s="411"/>
      <c r="G48" s="411"/>
      <c r="H48" s="411"/>
      <c r="I48" s="411"/>
      <c r="J48" s="411"/>
      <c r="K48" s="411" t="s">
        <v>553</v>
      </c>
      <c r="L48" s="411"/>
      <c r="M48" s="411"/>
      <c r="N48" s="411"/>
      <c r="O48" s="411"/>
      <c r="P48" s="411"/>
      <c r="Q48" s="411"/>
      <c r="R48" s="411"/>
      <c r="S48" s="411"/>
      <c r="T48" s="411"/>
    </row>
    <row r="49" spans="1:20" ht="33.950000000000003" customHeight="1">
      <c r="A49" s="334" t="s">
        <v>554</v>
      </c>
      <c r="B49" s="416" t="s">
        <v>555</v>
      </c>
      <c r="C49" s="416"/>
      <c r="D49" s="416"/>
      <c r="E49" s="416"/>
      <c r="F49" s="416"/>
      <c r="G49" s="416"/>
      <c r="H49" s="416"/>
      <c r="I49" s="416"/>
      <c r="J49" s="416"/>
      <c r="K49" s="416" t="s">
        <v>556</v>
      </c>
      <c r="L49" s="416"/>
      <c r="M49" s="416"/>
      <c r="N49" s="416"/>
      <c r="O49" s="416"/>
      <c r="P49" s="416"/>
      <c r="Q49" s="416"/>
      <c r="R49" s="416"/>
      <c r="S49" s="416"/>
      <c r="T49" s="416"/>
    </row>
    <row r="50" spans="1:20" ht="33.950000000000003" customHeight="1">
      <c r="A50" s="333" t="s">
        <v>557</v>
      </c>
      <c r="B50" s="411" t="s">
        <v>555</v>
      </c>
      <c r="C50" s="411"/>
      <c r="D50" s="411"/>
      <c r="E50" s="411"/>
      <c r="F50" s="411"/>
      <c r="G50" s="411"/>
      <c r="H50" s="411"/>
      <c r="I50" s="411"/>
      <c r="J50" s="411"/>
      <c r="K50" s="411" t="s">
        <v>558</v>
      </c>
      <c r="L50" s="411"/>
      <c r="M50" s="411"/>
      <c r="N50" s="411"/>
      <c r="O50" s="411"/>
      <c r="P50" s="411"/>
      <c r="Q50" s="411"/>
      <c r="R50" s="411"/>
      <c r="S50" s="411"/>
      <c r="T50" s="411"/>
    </row>
    <row r="51" spans="1:20" ht="33.950000000000003" customHeight="1">
      <c r="A51" s="334" t="s">
        <v>559</v>
      </c>
      <c r="B51" s="416" t="s">
        <v>560</v>
      </c>
      <c r="C51" s="416"/>
      <c r="D51" s="416"/>
      <c r="E51" s="416"/>
      <c r="F51" s="416"/>
      <c r="G51" s="416"/>
      <c r="H51" s="416"/>
      <c r="I51" s="416"/>
      <c r="J51" s="416"/>
      <c r="K51" s="416" t="s">
        <v>561</v>
      </c>
      <c r="L51" s="416"/>
      <c r="M51" s="416"/>
      <c r="N51" s="416"/>
      <c r="O51" s="416"/>
      <c r="P51" s="416"/>
      <c r="Q51" s="416"/>
      <c r="R51" s="416"/>
      <c r="S51" s="416"/>
      <c r="T51" s="416"/>
    </row>
  </sheetData>
  <mergeCells count="55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18:D18"/>
    <mergeCell ref="B19:D19"/>
    <mergeCell ref="B20:D20"/>
    <mergeCell ref="B32:D32"/>
    <mergeCell ref="B33:D33"/>
    <mergeCell ref="B34:D34"/>
    <mergeCell ref="B35:D35"/>
    <mergeCell ref="B51:J51"/>
    <mergeCell ref="K51:T51"/>
    <mergeCell ref="B46:J46"/>
    <mergeCell ref="K46:T46"/>
    <mergeCell ref="B47:J47"/>
    <mergeCell ref="K47:T47"/>
    <mergeCell ref="B48:J48"/>
    <mergeCell ref="K48:T48"/>
    <mergeCell ref="B36:D36"/>
    <mergeCell ref="B37:D37"/>
    <mergeCell ref="B49:J49"/>
    <mergeCell ref="K49:T49"/>
    <mergeCell ref="B50:J50"/>
    <mergeCell ref="K50:T50"/>
    <mergeCell ref="B40:D40"/>
    <mergeCell ref="B41:D41"/>
    <mergeCell ref="B42:D42"/>
    <mergeCell ref="A44:T44"/>
    <mergeCell ref="B45:J45"/>
    <mergeCell ref="K45:T45"/>
  </mergeCells>
  <dataValidations count="3">
    <dataValidation type="list" sqref="F10:T38" xr:uid="{00000000-0002-0000-1500-000000000000}">
      <formula1>"O,"</formula1>
      <formula2>0</formula2>
    </dataValidation>
    <dataValidation type="list" sqref="F39:T39" xr:uid="{00000000-0002-0000-1500-000001000000}">
      <formula1>"N,A,B"</formula1>
      <formula2>0</formula2>
    </dataValidation>
    <dataValidation type="list" sqref="F40:T40" xr:uid="{00000000-0002-0000-1500-000002000000}">
      <formula1>"P,F"</formula1>
      <formula2>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47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Functions!E28</f>
        <v>UT-018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Functions!D28</f>
        <v>PDF viewer identity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1374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8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562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2</v>
      </c>
      <c r="G7" s="423"/>
      <c r="H7" s="423"/>
      <c r="I7" s="423"/>
      <c r="J7" s="423"/>
      <c r="K7" s="423"/>
      <c r="L7" s="275">
        <f>COUNTIF(F39:T39,"N")</f>
        <v>1</v>
      </c>
      <c r="M7" s="275">
        <f>COUNTIF(F39:T39,"A")</f>
        <v>0</v>
      </c>
      <c r="N7" s="275">
        <f>COUNTIF(F39:T39,"B")</f>
        <v>1</v>
      </c>
      <c r="O7" s="424">
        <f>COUNTA(F9:T9)</f>
        <v>2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181</v>
      </c>
      <c r="C11" s="413"/>
      <c r="D11" s="414"/>
      <c r="E11" s="285"/>
      <c r="F11" s="292" t="s">
        <v>230</v>
      </c>
      <c r="G11" s="292" t="s">
        <v>230</v>
      </c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1364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1365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15">
      <c r="A17" s="288"/>
      <c r="B17" s="289"/>
      <c r="C17" s="290"/>
      <c r="D17" s="291"/>
      <c r="E17" s="295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1366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1367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15">
      <c r="A34" s="307"/>
      <c r="B34" s="308"/>
      <c r="C34" s="311"/>
      <c r="D34" s="309"/>
      <c r="E34" s="31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200</v>
      </c>
      <c r="G39" s="320" t="s">
        <v>198</v>
      </c>
      <c r="H39" s="320"/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563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564</v>
      </c>
      <c r="B46" s="411" t="s">
        <v>565</v>
      </c>
      <c r="C46" s="411"/>
      <c r="D46" s="411"/>
      <c r="E46" s="411"/>
      <c r="F46" s="411"/>
      <c r="G46" s="411"/>
      <c r="H46" s="411"/>
      <c r="I46" s="411"/>
      <c r="J46" s="411"/>
      <c r="K46" s="411" t="s">
        <v>566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567</v>
      </c>
      <c r="B47" s="416" t="s">
        <v>568</v>
      </c>
      <c r="C47" s="416"/>
      <c r="D47" s="416"/>
      <c r="E47" s="416"/>
      <c r="F47" s="416"/>
      <c r="G47" s="416"/>
      <c r="H47" s="416"/>
      <c r="I47" s="416"/>
      <c r="J47" s="416"/>
      <c r="K47" s="416" t="s">
        <v>569</v>
      </c>
      <c r="L47" s="416"/>
      <c r="M47" s="416"/>
      <c r="N47" s="416"/>
      <c r="O47" s="416"/>
      <c r="P47" s="416"/>
      <c r="Q47" s="416"/>
      <c r="R47" s="416"/>
      <c r="S47" s="416"/>
      <c r="T47" s="416"/>
    </row>
  </sheetData>
  <mergeCells count="39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46:J46"/>
    <mergeCell ref="K46:T46"/>
    <mergeCell ref="B47:J47"/>
    <mergeCell ref="K47:T47"/>
    <mergeCell ref="B11:D11"/>
    <mergeCell ref="B15:D15"/>
    <mergeCell ref="B16:D16"/>
    <mergeCell ref="B32:D32"/>
    <mergeCell ref="B33:D33"/>
    <mergeCell ref="B40:D40"/>
    <mergeCell ref="B41:D41"/>
    <mergeCell ref="B42:D42"/>
    <mergeCell ref="A44:T44"/>
    <mergeCell ref="B45:J45"/>
    <mergeCell ref="K45:T45"/>
  </mergeCells>
  <dataValidations count="3">
    <dataValidation type="list" sqref="F10:T38" xr:uid="{00000000-0002-0000-1600-000000000000}">
      <formula1>"O,"</formula1>
      <formula2>0</formula2>
    </dataValidation>
    <dataValidation type="list" sqref="F39:T39" xr:uid="{00000000-0002-0000-1600-000001000000}">
      <formula1>"N,A,B"</formula1>
      <formula2>0</formula2>
    </dataValidation>
    <dataValidation type="list" sqref="F40:T40" xr:uid="{00000000-0002-0000-1600-000002000000}">
      <formula1>"P,F"</formula1>
      <formula2>0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48"/>
  <sheetViews>
    <sheetView showGridLines="0" workbookViewId="0"/>
  </sheetViews>
  <sheetFormatPr defaultColWidth="9.7109375" defaultRowHeight="12.75"/>
  <cols>
    <col min="1" max="1" width="9.28515625" customWidth="1"/>
    <col min="2" max="2" width="15.140625" customWidth="1"/>
    <col min="3" max="3" width="12.28515625" customWidth="1"/>
    <col min="4" max="4" width="12.85546875" customWidth="1"/>
    <col min="5" max="5" width="1.140625" customWidth="1"/>
    <col min="6" max="20" width="3.28515625" customWidth="1"/>
  </cols>
  <sheetData>
    <row r="1" spans="1:20">
      <c r="A1" s="268"/>
      <c r="B1" s="269"/>
      <c r="C1" s="270"/>
      <c r="D1" s="271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</row>
    <row r="2" spans="1:20" ht="15" customHeight="1">
      <c r="A2" s="434" t="s">
        <v>212</v>
      </c>
      <c r="B2" s="434"/>
      <c r="C2" s="435" t="str">
        <f>Functions!E29</f>
        <v>UT-019</v>
      </c>
      <c r="D2" s="435"/>
      <c r="E2" s="435"/>
      <c r="F2" s="436" t="s">
        <v>72</v>
      </c>
      <c r="G2" s="436"/>
      <c r="H2" s="436"/>
      <c r="I2" s="436"/>
      <c r="J2" s="436"/>
      <c r="K2" s="436"/>
      <c r="L2" s="437" t="str">
        <f>Functions!D29</f>
        <v>IndexGenerationManifest validator</v>
      </c>
      <c r="M2" s="437"/>
      <c r="N2" s="437"/>
      <c r="O2" s="437"/>
      <c r="P2" s="437"/>
      <c r="Q2" s="437"/>
      <c r="R2" s="437"/>
      <c r="S2" s="437"/>
      <c r="T2" s="437"/>
    </row>
    <row r="3" spans="1:20" ht="15" customHeight="1">
      <c r="A3" s="430" t="s">
        <v>213</v>
      </c>
      <c r="B3" s="430"/>
      <c r="C3" s="438" t="s">
        <v>1375</v>
      </c>
      <c r="D3" s="438"/>
      <c r="E3" s="438"/>
      <c r="F3" s="432" t="s">
        <v>214</v>
      </c>
      <c r="G3" s="432"/>
      <c r="H3" s="432"/>
      <c r="I3" s="432"/>
      <c r="J3" s="432"/>
      <c r="K3" s="432"/>
      <c r="L3" s="439" t="s">
        <v>1375</v>
      </c>
      <c r="M3" s="439"/>
      <c r="N3" s="439"/>
      <c r="O3" s="272"/>
      <c r="P3" s="272"/>
      <c r="Q3" s="272"/>
      <c r="R3" s="272"/>
      <c r="S3" s="272"/>
      <c r="T3" s="273"/>
    </row>
    <row r="4" spans="1:20" ht="15" customHeight="1">
      <c r="A4" s="430" t="s">
        <v>215</v>
      </c>
      <c r="B4" s="430"/>
      <c r="C4" s="431">
        <v>49</v>
      </c>
      <c r="D4" s="431"/>
      <c r="E4" s="274"/>
      <c r="F4" s="432" t="s">
        <v>216</v>
      </c>
      <c r="G4" s="432"/>
      <c r="H4" s="432"/>
      <c r="I4" s="432"/>
      <c r="J4" s="432"/>
      <c r="K4" s="432"/>
      <c r="L4" s="433" t="str">
        <f>IF(OR(Functions!E6="N/A",C4=""),"N/A",MAX(0,ROUNDUP(C4*Functions!E6/1000,0)-O7))</f>
        <v>N/A</v>
      </c>
      <c r="M4" s="433"/>
      <c r="N4" s="433"/>
      <c r="O4" s="433"/>
      <c r="P4" s="433"/>
      <c r="Q4" s="433"/>
      <c r="R4" s="433"/>
      <c r="S4" s="433"/>
      <c r="T4" s="433"/>
    </row>
    <row r="5" spans="1:20" ht="15" customHeight="1">
      <c r="A5" s="430" t="s">
        <v>217</v>
      </c>
      <c r="B5" s="430"/>
      <c r="C5" s="386" t="s">
        <v>570</v>
      </c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</row>
    <row r="6" spans="1:20" ht="15" customHeight="1">
      <c r="A6" s="426" t="s">
        <v>195</v>
      </c>
      <c r="B6" s="426"/>
      <c r="C6" s="427" t="s">
        <v>196</v>
      </c>
      <c r="D6" s="427"/>
      <c r="E6" s="427"/>
      <c r="F6" s="427" t="s">
        <v>197</v>
      </c>
      <c r="G6" s="427"/>
      <c r="H6" s="427"/>
      <c r="I6" s="427"/>
      <c r="J6" s="427"/>
      <c r="K6" s="427"/>
      <c r="L6" s="428" t="s">
        <v>219</v>
      </c>
      <c r="M6" s="428"/>
      <c r="N6" s="428"/>
      <c r="O6" s="429" t="s">
        <v>201</v>
      </c>
      <c r="P6" s="429"/>
      <c r="Q6" s="429"/>
      <c r="R6" s="429"/>
      <c r="S6" s="429"/>
      <c r="T6" s="429"/>
    </row>
    <row r="7" spans="1:20">
      <c r="A7" s="422">
        <f>COUNTIF(F40:T40,"P")</f>
        <v>0</v>
      </c>
      <c r="B7" s="422"/>
      <c r="C7" s="423">
        <f>COUNTIF(F40:T40,"F")</f>
        <v>0</v>
      </c>
      <c r="D7" s="423"/>
      <c r="E7" s="423"/>
      <c r="F7" s="423">
        <f>MAX(0,O7-A7-C7)</f>
        <v>3</v>
      </c>
      <c r="G7" s="423"/>
      <c r="H7" s="423"/>
      <c r="I7" s="423"/>
      <c r="J7" s="423"/>
      <c r="K7" s="423"/>
      <c r="L7" s="275">
        <f>COUNTIF(F39:T39,"N")</f>
        <v>2</v>
      </c>
      <c r="M7" s="275">
        <f>COUNTIF(F39:T39,"A")</f>
        <v>1</v>
      </c>
      <c r="N7" s="275">
        <f>COUNTIF(F39:T39,"B")</f>
        <v>0</v>
      </c>
      <c r="O7" s="424">
        <f>COUNTA(F9:T9)</f>
        <v>3</v>
      </c>
      <c r="P7" s="424"/>
      <c r="Q7" s="424"/>
      <c r="R7" s="424"/>
      <c r="S7" s="424"/>
      <c r="T7" s="424"/>
    </row>
    <row r="8" spans="1:20">
      <c r="A8" s="270"/>
      <c r="B8" s="276"/>
      <c r="C8" s="270"/>
      <c r="D8" s="271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</row>
    <row r="9" spans="1:20" ht="46.5" customHeight="1">
      <c r="A9" s="277"/>
      <c r="B9" s="278"/>
      <c r="C9" s="279"/>
      <c r="D9" s="280"/>
      <c r="E9" s="279"/>
      <c r="F9" s="113" t="s">
        <v>220</v>
      </c>
      <c r="G9" s="113" t="s">
        <v>221</v>
      </c>
      <c r="H9" s="113" t="s">
        <v>222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4"/>
    </row>
    <row r="10" spans="1:20" ht="15">
      <c r="A10" s="281" t="s">
        <v>228</v>
      </c>
      <c r="B10" s="282" t="s">
        <v>229</v>
      </c>
      <c r="C10" s="283"/>
      <c r="D10" s="284"/>
      <c r="E10" s="285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</row>
    <row r="11" spans="1:20" ht="21.95" customHeight="1">
      <c r="A11" s="288"/>
      <c r="B11" s="412" t="s">
        <v>187</v>
      </c>
      <c r="C11" s="413"/>
      <c r="D11" s="414"/>
      <c r="E11" s="285"/>
      <c r="F11" s="292" t="s">
        <v>230</v>
      </c>
      <c r="G11" s="292" t="s">
        <v>230</v>
      </c>
      <c r="H11" s="292" t="s">
        <v>230</v>
      </c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3"/>
    </row>
    <row r="12" spans="1:20" ht="15">
      <c r="A12" s="288"/>
      <c r="B12" s="289"/>
      <c r="C12" s="290"/>
      <c r="D12" s="291"/>
      <c r="E12" s="285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3"/>
    </row>
    <row r="13" spans="1:20" ht="15">
      <c r="A13" s="288"/>
      <c r="B13" s="289"/>
      <c r="C13" s="290"/>
      <c r="D13" s="291"/>
      <c r="E13" s="294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3"/>
    </row>
    <row r="14" spans="1:20" ht="15">
      <c r="A14" s="288"/>
      <c r="B14" s="289" t="s">
        <v>231</v>
      </c>
      <c r="C14" s="290"/>
      <c r="D14" s="291"/>
      <c r="E14" s="295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3"/>
    </row>
    <row r="15" spans="1:20" ht="24.95" customHeight="1">
      <c r="A15" s="288"/>
      <c r="B15" s="412" t="s">
        <v>1368</v>
      </c>
      <c r="C15" s="413"/>
      <c r="D15" s="414"/>
      <c r="E15" s="295"/>
      <c r="F15" s="292" t="s">
        <v>230</v>
      </c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3"/>
    </row>
    <row r="16" spans="1:20" ht="24.95" customHeight="1">
      <c r="A16" s="288"/>
      <c r="B16" s="412" t="s">
        <v>1369</v>
      </c>
      <c r="C16" s="413"/>
      <c r="D16" s="414"/>
      <c r="E16" s="295"/>
      <c r="F16" s="292"/>
      <c r="G16" s="292" t="s">
        <v>230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3"/>
    </row>
    <row r="17" spans="1:20" ht="24.95" customHeight="1">
      <c r="A17" s="288"/>
      <c r="B17" s="412" t="s">
        <v>1370</v>
      </c>
      <c r="C17" s="413"/>
      <c r="D17" s="414"/>
      <c r="E17" s="295"/>
      <c r="F17" s="292"/>
      <c r="G17" s="292"/>
      <c r="H17" s="292" t="s">
        <v>230</v>
      </c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3"/>
    </row>
    <row r="18" spans="1:20" ht="15">
      <c r="A18" s="288"/>
      <c r="B18" s="289"/>
      <c r="C18" s="290"/>
      <c r="D18" s="291"/>
      <c r="E18" s="295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3"/>
    </row>
    <row r="19" spans="1:20" ht="15">
      <c r="A19" s="288"/>
      <c r="B19" s="289"/>
      <c r="C19" s="290"/>
      <c r="D19" s="271"/>
      <c r="E19" s="27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3"/>
    </row>
    <row r="20" spans="1:20" ht="15">
      <c r="A20" s="288"/>
      <c r="B20" s="289"/>
      <c r="C20" s="290"/>
      <c r="D20" s="291"/>
      <c r="E20" s="295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3"/>
    </row>
    <row r="21" spans="1:20" ht="15">
      <c r="A21" s="288"/>
      <c r="B21" s="289"/>
      <c r="C21" s="290"/>
      <c r="D21" s="291"/>
      <c r="E21" s="295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3"/>
    </row>
    <row r="22" spans="1:20" ht="15">
      <c r="A22" s="288"/>
      <c r="B22" s="289"/>
      <c r="C22" s="290"/>
      <c r="D22" s="291"/>
      <c r="E22" s="295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3"/>
    </row>
    <row r="23" spans="1:20" ht="15">
      <c r="A23" s="288"/>
      <c r="B23" s="289"/>
      <c r="C23" s="290"/>
      <c r="D23" s="291"/>
      <c r="E23" s="295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3"/>
    </row>
    <row r="24" spans="1:20" ht="15">
      <c r="A24" s="288"/>
      <c r="B24" s="289"/>
      <c r="C24" s="290"/>
      <c r="D24" s="291"/>
      <c r="E24" s="295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3"/>
    </row>
    <row r="25" spans="1:20" ht="15">
      <c r="A25" s="288"/>
      <c r="B25" s="289"/>
      <c r="C25" s="290"/>
      <c r="D25" s="291"/>
      <c r="E25" s="295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3"/>
    </row>
    <row r="26" spans="1:20" ht="15">
      <c r="A26" s="288"/>
      <c r="B26" s="289"/>
      <c r="C26" s="290"/>
      <c r="D26" s="291"/>
      <c r="E26" s="295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3"/>
    </row>
    <row r="27" spans="1:20" ht="15">
      <c r="A27" s="288"/>
      <c r="B27" s="289"/>
      <c r="C27" s="290"/>
      <c r="D27" s="291"/>
      <c r="E27" s="295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3"/>
    </row>
    <row r="28" spans="1:20" ht="15">
      <c r="A28" s="288"/>
      <c r="B28" s="289"/>
      <c r="C28" s="290"/>
      <c r="D28" s="291"/>
      <c r="E28" s="295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3"/>
    </row>
    <row r="29" spans="1:20" ht="15">
      <c r="A29" s="288"/>
      <c r="B29" s="289"/>
      <c r="C29" s="290"/>
      <c r="D29" s="291"/>
      <c r="E29" s="295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3"/>
    </row>
    <row r="30" spans="1:20" ht="15">
      <c r="A30" s="288"/>
      <c r="B30" s="296"/>
      <c r="C30" s="297"/>
      <c r="D30" s="298"/>
      <c r="E30" s="299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1"/>
    </row>
    <row r="31" spans="1:20" ht="15">
      <c r="A31" s="302" t="s">
        <v>232</v>
      </c>
      <c r="B31" s="303" t="s">
        <v>232</v>
      </c>
      <c r="C31" s="304"/>
      <c r="D31" s="305"/>
      <c r="E31" s="30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7"/>
    </row>
    <row r="32" spans="1:20" ht="23.1" customHeight="1">
      <c r="A32" s="307"/>
      <c r="B32" s="412" t="s">
        <v>1371</v>
      </c>
      <c r="C32" s="413"/>
      <c r="D32" s="414"/>
      <c r="E32" s="310"/>
      <c r="F32" s="292" t="s">
        <v>230</v>
      </c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3"/>
    </row>
    <row r="33" spans="1:20" ht="23.1" customHeight="1">
      <c r="A33" s="307"/>
      <c r="B33" s="412" t="s">
        <v>1372</v>
      </c>
      <c r="C33" s="413"/>
      <c r="D33" s="414"/>
      <c r="E33" s="312"/>
      <c r="F33" s="292"/>
      <c r="G33" s="292" t="s">
        <v>230</v>
      </c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3"/>
    </row>
    <row r="34" spans="1:20" ht="23.1" customHeight="1">
      <c r="A34" s="307"/>
      <c r="B34" s="412" t="s">
        <v>1373</v>
      </c>
      <c r="C34" s="413"/>
      <c r="D34" s="414"/>
      <c r="E34" s="312"/>
      <c r="F34" s="292"/>
      <c r="G34" s="292"/>
      <c r="H34" s="292" t="s">
        <v>230</v>
      </c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3"/>
    </row>
    <row r="35" spans="1:20" ht="15">
      <c r="A35" s="307"/>
      <c r="B35" s="308"/>
      <c r="C35" s="311"/>
      <c r="D35" s="309"/>
      <c r="E35" s="31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3"/>
    </row>
    <row r="36" spans="1:20" ht="15">
      <c r="A36" s="307"/>
      <c r="B36" s="308"/>
      <c r="C36" s="311"/>
      <c r="D36" s="309"/>
      <c r="E36" s="31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3"/>
    </row>
    <row r="37" spans="1:20" ht="15">
      <c r="A37" s="307"/>
      <c r="B37" s="308"/>
      <c r="C37" s="311"/>
      <c r="D37" s="309"/>
      <c r="E37" s="31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3"/>
    </row>
    <row r="38" spans="1:20" ht="15">
      <c r="A38" s="307"/>
      <c r="B38" s="313"/>
      <c r="C38" s="314"/>
      <c r="D38" s="315"/>
      <c r="E38" s="316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8"/>
    </row>
    <row r="39" spans="1:20">
      <c r="A39" s="302" t="s">
        <v>204</v>
      </c>
      <c r="B39" s="425" t="s">
        <v>233</v>
      </c>
      <c r="C39" s="425"/>
      <c r="D39" s="425"/>
      <c r="E39" s="319"/>
      <c r="F39" s="320" t="s">
        <v>198</v>
      </c>
      <c r="G39" s="320" t="s">
        <v>198</v>
      </c>
      <c r="H39" s="320" t="s">
        <v>199</v>
      </c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1"/>
    </row>
    <row r="40" spans="1:20">
      <c r="A40" s="307"/>
      <c r="B40" s="417" t="s">
        <v>234</v>
      </c>
      <c r="C40" s="417"/>
      <c r="D40" s="417"/>
      <c r="E40" s="322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4"/>
    </row>
    <row r="41" spans="1:20">
      <c r="A41" s="307"/>
      <c r="B41" s="418" t="s">
        <v>235</v>
      </c>
      <c r="C41" s="418"/>
      <c r="D41" s="418"/>
      <c r="E41" s="325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7"/>
    </row>
    <row r="42" spans="1:20">
      <c r="A42" s="328"/>
      <c r="B42" s="419" t="s">
        <v>236</v>
      </c>
      <c r="C42" s="419"/>
      <c r="D42" s="419"/>
      <c r="E42" s="329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  <c r="R42" s="329"/>
      <c r="S42" s="329"/>
      <c r="T42" s="330"/>
    </row>
    <row r="43" spans="1:20">
      <c r="A43" s="331"/>
      <c r="B43" s="276"/>
      <c r="C43" s="270"/>
      <c r="D43" s="271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</row>
    <row r="44" spans="1:20" ht="30.95" customHeight="1">
      <c r="A44" s="420" t="s">
        <v>571</v>
      </c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</row>
    <row r="45" spans="1:20" ht="27.95" customHeight="1">
      <c r="A45" s="332" t="s">
        <v>238</v>
      </c>
      <c r="B45" s="421" t="s">
        <v>239</v>
      </c>
      <c r="C45" s="421"/>
      <c r="D45" s="421"/>
      <c r="E45" s="421"/>
      <c r="F45" s="421"/>
      <c r="G45" s="421"/>
      <c r="H45" s="421"/>
      <c r="I45" s="421"/>
      <c r="J45" s="421"/>
      <c r="K45" s="421" t="s">
        <v>240</v>
      </c>
      <c r="L45" s="421"/>
      <c r="M45" s="421"/>
      <c r="N45" s="421"/>
      <c r="O45" s="421"/>
      <c r="P45" s="421"/>
      <c r="Q45" s="421"/>
      <c r="R45" s="421"/>
      <c r="S45" s="421"/>
      <c r="T45" s="421"/>
    </row>
    <row r="46" spans="1:20" ht="33.950000000000003" customHeight="1">
      <c r="A46" s="333" t="s">
        <v>572</v>
      </c>
      <c r="B46" s="411" t="s">
        <v>573</v>
      </c>
      <c r="C46" s="411"/>
      <c r="D46" s="411"/>
      <c r="E46" s="411"/>
      <c r="F46" s="411"/>
      <c r="G46" s="411"/>
      <c r="H46" s="411"/>
      <c r="I46" s="411"/>
      <c r="J46" s="411"/>
      <c r="K46" s="411" t="s">
        <v>574</v>
      </c>
      <c r="L46" s="411"/>
      <c r="M46" s="411"/>
      <c r="N46" s="411"/>
      <c r="O46" s="411"/>
      <c r="P46" s="411"/>
      <c r="Q46" s="411"/>
      <c r="R46" s="411"/>
      <c r="S46" s="411"/>
      <c r="T46" s="411"/>
    </row>
    <row r="47" spans="1:20" ht="33.950000000000003" customHeight="1">
      <c r="A47" s="334" t="s">
        <v>575</v>
      </c>
      <c r="B47" s="416" t="s">
        <v>576</v>
      </c>
      <c r="C47" s="416"/>
      <c r="D47" s="416"/>
      <c r="E47" s="416"/>
      <c r="F47" s="416"/>
      <c r="G47" s="416"/>
      <c r="H47" s="416"/>
      <c r="I47" s="416"/>
      <c r="J47" s="416"/>
      <c r="K47" s="416" t="s">
        <v>577</v>
      </c>
      <c r="L47" s="416"/>
      <c r="M47" s="416"/>
      <c r="N47" s="416"/>
      <c r="O47" s="416"/>
      <c r="P47" s="416"/>
      <c r="Q47" s="416"/>
      <c r="R47" s="416"/>
      <c r="S47" s="416"/>
      <c r="T47" s="416"/>
    </row>
    <row r="48" spans="1:20" ht="33.950000000000003" customHeight="1">
      <c r="A48" s="333" t="s">
        <v>578</v>
      </c>
      <c r="B48" s="411" t="s">
        <v>579</v>
      </c>
      <c r="C48" s="411"/>
      <c r="D48" s="411"/>
      <c r="E48" s="411"/>
      <c r="F48" s="411"/>
      <c r="G48" s="411"/>
      <c r="H48" s="411"/>
      <c r="I48" s="411"/>
      <c r="J48" s="411"/>
      <c r="K48" s="411" t="s">
        <v>580</v>
      </c>
      <c r="L48" s="411"/>
      <c r="M48" s="411"/>
      <c r="N48" s="411"/>
      <c r="O48" s="411"/>
      <c r="P48" s="411"/>
      <c r="Q48" s="411"/>
      <c r="R48" s="411"/>
      <c r="S48" s="411"/>
      <c r="T48" s="411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9:D39"/>
    <mergeCell ref="B11:D11"/>
    <mergeCell ref="B15:D15"/>
    <mergeCell ref="B16:D16"/>
    <mergeCell ref="B17:D17"/>
    <mergeCell ref="B32:D32"/>
    <mergeCell ref="B33:D33"/>
    <mergeCell ref="B34:D34"/>
    <mergeCell ref="B40:D40"/>
    <mergeCell ref="B41:D41"/>
    <mergeCell ref="B42:D42"/>
    <mergeCell ref="A44:T44"/>
    <mergeCell ref="B45:J45"/>
    <mergeCell ref="K45:T45"/>
    <mergeCell ref="B46:J46"/>
    <mergeCell ref="K46:T46"/>
    <mergeCell ref="B47:J47"/>
    <mergeCell ref="K47:T47"/>
    <mergeCell ref="B48:J48"/>
    <mergeCell ref="K48:T48"/>
  </mergeCells>
  <dataValidations count="3">
    <dataValidation type="list" sqref="F10:T38" xr:uid="{00000000-0002-0000-1700-000000000000}">
      <formula1>"O,"</formula1>
      <formula2>0</formula2>
    </dataValidation>
    <dataValidation type="list" sqref="F39:T39" xr:uid="{00000000-0002-0000-1700-000001000000}">
      <formula1>"N,A,B"</formula1>
      <formula2>0</formula2>
    </dataValidation>
    <dataValidation type="list" sqref="F40:T40" xr:uid="{00000000-0002-0000-1700-000002000000}">
      <formula1>"P,F"</formula1>
      <formula2>0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14"/>
  <sheetViews>
    <sheetView showGridLines="0" tabSelected="1" workbookViewId="0">
      <pane ySplit="1" topLeftCell="A2" activePane="bottomLeft" state="frozen"/>
      <selection pane="bottomLeft" activeCell="D18" sqref="D18"/>
    </sheetView>
  </sheetViews>
  <sheetFormatPr defaultColWidth="9.7109375" defaultRowHeight="12.75"/>
  <cols>
    <col min="1" max="1" width="19.28515625" customWidth="1"/>
    <col min="2" max="2" width="17" customWidth="1"/>
    <col min="3" max="3" width="65.85546875" customWidth="1"/>
    <col min="4" max="4" width="101" customWidth="1"/>
    <col min="5" max="5" width="20.42578125" customWidth="1"/>
    <col min="6" max="6" width="81.7109375" customWidth="1"/>
  </cols>
  <sheetData>
    <row r="1" spans="1:6" ht="30" customHeight="1">
      <c r="A1" s="335" t="s">
        <v>581</v>
      </c>
      <c r="B1" s="335" t="s">
        <v>582</v>
      </c>
      <c r="C1" s="335" t="s">
        <v>583</v>
      </c>
      <c r="D1" s="335" t="s">
        <v>584</v>
      </c>
      <c r="E1" s="335" t="s">
        <v>585</v>
      </c>
      <c r="F1" s="335" t="s">
        <v>586</v>
      </c>
    </row>
    <row r="2" spans="1:6" ht="24" customHeight="1">
      <c r="A2" s="336" t="s">
        <v>587</v>
      </c>
      <c r="B2" s="336" t="s">
        <v>588</v>
      </c>
      <c r="C2" s="336" t="s">
        <v>589</v>
      </c>
      <c r="D2" s="336" t="s">
        <v>526</v>
      </c>
      <c r="E2" s="336" t="s">
        <v>590</v>
      </c>
      <c r="F2" s="336" t="s">
        <v>591</v>
      </c>
    </row>
    <row r="3" spans="1:6" ht="24" customHeight="1">
      <c r="A3" s="336" t="s">
        <v>587</v>
      </c>
      <c r="B3" s="336" t="s">
        <v>588</v>
      </c>
      <c r="C3" s="336" t="s">
        <v>589</v>
      </c>
      <c r="D3" s="336" t="s">
        <v>529</v>
      </c>
      <c r="E3" s="336" t="s">
        <v>590</v>
      </c>
      <c r="F3" s="336" t="s">
        <v>591</v>
      </c>
    </row>
    <row r="4" spans="1:6" ht="24" customHeight="1">
      <c r="A4" s="336" t="s">
        <v>587</v>
      </c>
      <c r="B4" s="336" t="s">
        <v>588</v>
      </c>
      <c r="C4" s="336" t="s">
        <v>592</v>
      </c>
      <c r="D4" s="336" t="s">
        <v>593</v>
      </c>
      <c r="E4" s="336" t="s">
        <v>590</v>
      </c>
      <c r="F4" s="336" t="s">
        <v>594</v>
      </c>
    </row>
    <row r="5" spans="1:6" ht="24" customHeight="1">
      <c r="A5" s="336" t="s">
        <v>587</v>
      </c>
      <c r="B5" s="336" t="s">
        <v>588</v>
      </c>
      <c r="C5" s="336" t="s">
        <v>592</v>
      </c>
      <c r="D5" s="336" t="s">
        <v>595</v>
      </c>
      <c r="E5" s="336" t="s">
        <v>590</v>
      </c>
      <c r="F5" s="336" t="s">
        <v>594</v>
      </c>
    </row>
    <row r="6" spans="1:6" ht="24" customHeight="1">
      <c r="A6" s="336" t="s">
        <v>587</v>
      </c>
      <c r="B6" s="336" t="s">
        <v>588</v>
      </c>
      <c r="C6" s="336" t="s">
        <v>592</v>
      </c>
      <c r="D6" s="336" t="s">
        <v>596</v>
      </c>
      <c r="E6" s="336" t="s">
        <v>590</v>
      </c>
      <c r="F6" s="336" t="s">
        <v>594</v>
      </c>
    </row>
    <row r="7" spans="1:6" ht="24" customHeight="1">
      <c r="A7" s="336" t="s">
        <v>587</v>
      </c>
      <c r="B7" s="336" t="s">
        <v>588</v>
      </c>
      <c r="C7" s="336" t="s">
        <v>597</v>
      </c>
      <c r="D7" s="336" t="s">
        <v>598</v>
      </c>
      <c r="E7" s="336" t="s">
        <v>599</v>
      </c>
      <c r="F7" s="336" t="s">
        <v>600</v>
      </c>
    </row>
    <row r="8" spans="1:6" ht="24" customHeight="1">
      <c r="A8" s="336" t="s">
        <v>587</v>
      </c>
      <c r="B8" s="336" t="s">
        <v>588</v>
      </c>
      <c r="C8" s="336" t="s">
        <v>597</v>
      </c>
      <c r="D8" s="336" t="s">
        <v>601</v>
      </c>
      <c r="E8" s="336" t="s">
        <v>599</v>
      </c>
      <c r="F8" s="336" t="s">
        <v>600</v>
      </c>
    </row>
    <row r="9" spans="1:6" ht="24" customHeight="1">
      <c r="A9" s="336" t="s">
        <v>587</v>
      </c>
      <c r="B9" s="336" t="s">
        <v>588</v>
      </c>
      <c r="C9" s="336" t="s">
        <v>597</v>
      </c>
      <c r="D9" s="336" t="s">
        <v>602</v>
      </c>
      <c r="E9" s="336" t="s">
        <v>599</v>
      </c>
      <c r="F9" s="336" t="s">
        <v>600</v>
      </c>
    </row>
    <row r="10" spans="1:6" ht="24" customHeight="1">
      <c r="A10" s="336" t="s">
        <v>587</v>
      </c>
      <c r="B10" s="336" t="s">
        <v>588</v>
      </c>
      <c r="C10" s="336" t="s">
        <v>597</v>
      </c>
      <c r="D10" s="336" t="s">
        <v>603</v>
      </c>
      <c r="E10" s="336" t="s">
        <v>599</v>
      </c>
      <c r="F10" s="336" t="s">
        <v>600</v>
      </c>
    </row>
    <row r="11" spans="1:6" ht="24" customHeight="1">
      <c r="A11" s="336" t="s">
        <v>587</v>
      </c>
      <c r="B11" s="336" t="s">
        <v>588</v>
      </c>
      <c r="C11" s="336" t="s">
        <v>597</v>
      </c>
      <c r="D11" s="336" t="s">
        <v>604</v>
      </c>
      <c r="E11" s="336" t="s">
        <v>599</v>
      </c>
      <c r="F11" s="336" t="s">
        <v>600</v>
      </c>
    </row>
    <row r="12" spans="1:6" ht="24" customHeight="1">
      <c r="A12" s="336" t="s">
        <v>587</v>
      </c>
      <c r="B12" s="336" t="s">
        <v>588</v>
      </c>
      <c r="C12" s="336" t="s">
        <v>597</v>
      </c>
      <c r="D12" s="336" t="s">
        <v>605</v>
      </c>
      <c r="E12" s="336" t="s">
        <v>599</v>
      </c>
      <c r="F12" s="336" t="s">
        <v>600</v>
      </c>
    </row>
    <row r="13" spans="1:6" ht="24" customHeight="1">
      <c r="A13" s="336" t="s">
        <v>587</v>
      </c>
      <c r="B13" s="336" t="s">
        <v>588</v>
      </c>
      <c r="C13" s="336" t="s">
        <v>597</v>
      </c>
      <c r="D13" s="336" t="s">
        <v>606</v>
      </c>
      <c r="E13" s="336" t="s">
        <v>599</v>
      </c>
      <c r="F13" s="336" t="s">
        <v>600</v>
      </c>
    </row>
    <row r="14" spans="1:6" ht="24" customHeight="1">
      <c r="A14" s="336" t="s">
        <v>587</v>
      </c>
      <c r="B14" s="336" t="s">
        <v>588</v>
      </c>
      <c r="C14" s="336" t="s">
        <v>597</v>
      </c>
      <c r="D14" s="336" t="s">
        <v>607</v>
      </c>
      <c r="E14" s="336" t="s">
        <v>599</v>
      </c>
      <c r="F14" s="336" t="s">
        <v>600</v>
      </c>
    </row>
    <row r="15" spans="1:6" ht="24" customHeight="1">
      <c r="A15" s="336" t="s">
        <v>587</v>
      </c>
      <c r="B15" s="336" t="s">
        <v>588</v>
      </c>
      <c r="C15" s="336" t="s">
        <v>597</v>
      </c>
      <c r="D15" s="336" t="s">
        <v>608</v>
      </c>
      <c r="E15" s="336" t="s">
        <v>599</v>
      </c>
      <c r="F15" s="336" t="s">
        <v>600</v>
      </c>
    </row>
    <row r="16" spans="1:6" ht="24" customHeight="1">
      <c r="A16" s="336" t="s">
        <v>587</v>
      </c>
      <c r="B16" s="336" t="s">
        <v>588</v>
      </c>
      <c r="C16" s="336" t="s">
        <v>597</v>
      </c>
      <c r="D16" s="336" t="s">
        <v>609</v>
      </c>
      <c r="E16" s="336" t="s">
        <v>599</v>
      </c>
      <c r="F16" s="336" t="s">
        <v>600</v>
      </c>
    </row>
    <row r="17" spans="1:6" ht="24" customHeight="1">
      <c r="A17" s="336" t="s">
        <v>587</v>
      </c>
      <c r="B17" s="336" t="s">
        <v>588</v>
      </c>
      <c r="C17" s="336" t="s">
        <v>597</v>
      </c>
      <c r="D17" s="336" t="s">
        <v>610</v>
      </c>
      <c r="E17" s="336" t="s">
        <v>599</v>
      </c>
      <c r="F17" s="336" t="s">
        <v>600</v>
      </c>
    </row>
    <row r="18" spans="1:6" ht="24" customHeight="1">
      <c r="A18" s="336" t="s">
        <v>587</v>
      </c>
      <c r="B18" s="336" t="s">
        <v>588</v>
      </c>
      <c r="C18" s="336" t="s">
        <v>597</v>
      </c>
      <c r="D18" s="336" t="s">
        <v>611</v>
      </c>
      <c r="E18" s="336" t="s">
        <v>599</v>
      </c>
      <c r="F18" s="336" t="s">
        <v>600</v>
      </c>
    </row>
    <row r="19" spans="1:6" ht="24" customHeight="1">
      <c r="A19" s="336" t="s">
        <v>587</v>
      </c>
      <c r="B19" s="336" t="s">
        <v>588</v>
      </c>
      <c r="C19" s="336" t="s">
        <v>597</v>
      </c>
      <c r="D19" s="336" t="s">
        <v>612</v>
      </c>
      <c r="E19" s="336" t="s">
        <v>599</v>
      </c>
      <c r="F19" s="336" t="s">
        <v>600</v>
      </c>
    </row>
    <row r="20" spans="1:6" ht="24" customHeight="1">
      <c r="A20" s="336" t="s">
        <v>587</v>
      </c>
      <c r="B20" s="336" t="s">
        <v>588</v>
      </c>
      <c r="C20" s="336" t="s">
        <v>597</v>
      </c>
      <c r="D20" s="336" t="s">
        <v>613</v>
      </c>
      <c r="E20" s="336" t="s">
        <v>599</v>
      </c>
      <c r="F20" s="336" t="s">
        <v>600</v>
      </c>
    </row>
    <row r="21" spans="1:6" ht="24" customHeight="1">
      <c r="A21" s="336" t="s">
        <v>587</v>
      </c>
      <c r="B21" s="336" t="s">
        <v>588</v>
      </c>
      <c r="C21" s="336" t="s">
        <v>597</v>
      </c>
      <c r="D21" s="336" t="s">
        <v>614</v>
      </c>
      <c r="E21" s="336" t="s">
        <v>599</v>
      </c>
      <c r="F21" s="336" t="s">
        <v>600</v>
      </c>
    </row>
    <row r="22" spans="1:6" ht="24" customHeight="1">
      <c r="A22" s="336" t="s">
        <v>587</v>
      </c>
      <c r="B22" s="336" t="s">
        <v>588</v>
      </c>
      <c r="C22" s="336" t="s">
        <v>597</v>
      </c>
      <c r="D22" s="336" t="s">
        <v>615</v>
      </c>
      <c r="E22" s="336" t="s">
        <v>599</v>
      </c>
      <c r="F22" s="336" t="s">
        <v>600</v>
      </c>
    </row>
    <row r="23" spans="1:6" ht="24" customHeight="1">
      <c r="A23" s="336" t="s">
        <v>587</v>
      </c>
      <c r="B23" s="336" t="s">
        <v>588</v>
      </c>
      <c r="C23" s="336" t="s">
        <v>597</v>
      </c>
      <c r="D23" s="336" t="s">
        <v>616</v>
      </c>
      <c r="E23" s="336" t="s">
        <v>599</v>
      </c>
      <c r="F23" s="336" t="s">
        <v>600</v>
      </c>
    </row>
    <row r="24" spans="1:6" ht="24" customHeight="1">
      <c r="A24" s="336" t="s">
        <v>587</v>
      </c>
      <c r="B24" s="336" t="s">
        <v>588</v>
      </c>
      <c r="C24" s="336" t="s">
        <v>597</v>
      </c>
      <c r="D24" s="336" t="s">
        <v>617</v>
      </c>
      <c r="E24" s="336" t="s">
        <v>599</v>
      </c>
      <c r="F24" s="336" t="s">
        <v>600</v>
      </c>
    </row>
    <row r="25" spans="1:6" ht="24" customHeight="1">
      <c r="A25" s="336" t="s">
        <v>587</v>
      </c>
      <c r="B25" s="336" t="s">
        <v>588</v>
      </c>
      <c r="C25" s="336" t="s">
        <v>597</v>
      </c>
      <c r="D25" s="336" t="s">
        <v>618</v>
      </c>
      <c r="E25" s="336" t="s">
        <v>599</v>
      </c>
      <c r="F25" s="336" t="s">
        <v>600</v>
      </c>
    </row>
    <row r="26" spans="1:6" ht="24" customHeight="1">
      <c r="A26" s="336" t="s">
        <v>587</v>
      </c>
      <c r="B26" s="336" t="s">
        <v>588</v>
      </c>
      <c r="C26" s="336" t="s">
        <v>597</v>
      </c>
      <c r="D26" s="336" t="s">
        <v>619</v>
      </c>
      <c r="E26" s="336" t="s">
        <v>599</v>
      </c>
      <c r="F26" s="336" t="s">
        <v>600</v>
      </c>
    </row>
    <row r="27" spans="1:6" ht="24" customHeight="1">
      <c r="A27" s="336" t="s">
        <v>587</v>
      </c>
      <c r="B27" s="336" t="s">
        <v>588</v>
      </c>
      <c r="C27" s="336" t="s">
        <v>597</v>
      </c>
      <c r="D27" s="336" t="s">
        <v>620</v>
      </c>
      <c r="E27" s="336" t="s">
        <v>599</v>
      </c>
      <c r="F27" s="336" t="s">
        <v>600</v>
      </c>
    </row>
    <row r="28" spans="1:6" ht="24" customHeight="1">
      <c r="A28" s="336" t="s">
        <v>587</v>
      </c>
      <c r="B28" s="336" t="s">
        <v>588</v>
      </c>
      <c r="C28" s="336" t="s">
        <v>597</v>
      </c>
      <c r="D28" s="336" t="s">
        <v>621</v>
      </c>
      <c r="E28" s="336" t="s">
        <v>599</v>
      </c>
      <c r="F28" s="336" t="s">
        <v>600</v>
      </c>
    </row>
    <row r="29" spans="1:6" ht="24" customHeight="1">
      <c r="A29" s="336" t="s">
        <v>587</v>
      </c>
      <c r="B29" s="336" t="s">
        <v>588</v>
      </c>
      <c r="C29" s="336" t="s">
        <v>597</v>
      </c>
      <c r="D29" s="336" t="s">
        <v>622</v>
      </c>
      <c r="E29" s="336" t="s">
        <v>599</v>
      </c>
      <c r="F29" s="336" t="s">
        <v>600</v>
      </c>
    </row>
    <row r="30" spans="1:6" ht="24" customHeight="1">
      <c r="A30" s="336" t="s">
        <v>587</v>
      </c>
      <c r="B30" s="336" t="s">
        <v>588</v>
      </c>
      <c r="C30" s="336" t="s">
        <v>597</v>
      </c>
      <c r="D30" s="336" t="s">
        <v>623</v>
      </c>
      <c r="E30" s="336" t="s">
        <v>599</v>
      </c>
      <c r="F30" s="336" t="s">
        <v>600</v>
      </c>
    </row>
    <row r="31" spans="1:6" ht="24" customHeight="1">
      <c r="A31" s="336" t="s">
        <v>587</v>
      </c>
      <c r="B31" s="336" t="s">
        <v>588</v>
      </c>
      <c r="C31" s="336" t="s">
        <v>597</v>
      </c>
      <c r="D31" s="336" t="s">
        <v>624</v>
      </c>
      <c r="E31" s="336" t="s">
        <v>599</v>
      </c>
      <c r="F31" s="336" t="s">
        <v>600</v>
      </c>
    </row>
    <row r="32" spans="1:6" ht="24" customHeight="1">
      <c r="A32" s="336" t="s">
        <v>587</v>
      </c>
      <c r="B32" s="336" t="s">
        <v>588</v>
      </c>
      <c r="C32" s="336" t="s">
        <v>597</v>
      </c>
      <c r="D32" s="336" t="s">
        <v>625</v>
      </c>
      <c r="E32" s="336" t="s">
        <v>599</v>
      </c>
      <c r="F32" s="336" t="s">
        <v>600</v>
      </c>
    </row>
    <row r="33" spans="1:6" ht="24" customHeight="1">
      <c r="A33" s="336" t="s">
        <v>587</v>
      </c>
      <c r="B33" s="336" t="s">
        <v>588</v>
      </c>
      <c r="C33" s="336" t="s">
        <v>597</v>
      </c>
      <c r="D33" s="336" t="s">
        <v>626</v>
      </c>
      <c r="E33" s="336" t="s">
        <v>599</v>
      </c>
      <c r="F33" s="336" t="s">
        <v>600</v>
      </c>
    </row>
    <row r="34" spans="1:6" ht="24" customHeight="1">
      <c r="A34" s="336" t="s">
        <v>587</v>
      </c>
      <c r="B34" s="336" t="s">
        <v>588</v>
      </c>
      <c r="C34" s="336" t="s">
        <v>597</v>
      </c>
      <c r="D34" s="336" t="s">
        <v>627</v>
      </c>
      <c r="E34" s="336" t="s">
        <v>599</v>
      </c>
      <c r="F34" s="336" t="s">
        <v>600</v>
      </c>
    </row>
    <row r="35" spans="1:6" ht="24" customHeight="1">
      <c r="A35" s="336" t="s">
        <v>587</v>
      </c>
      <c r="B35" s="336" t="s">
        <v>588</v>
      </c>
      <c r="C35" s="336" t="s">
        <v>597</v>
      </c>
      <c r="D35" s="336" t="s">
        <v>628</v>
      </c>
      <c r="E35" s="336" t="s">
        <v>599</v>
      </c>
      <c r="F35" s="336" t="s">
        <v>600</v>
      </c>
    </row>
    <row r="36" spans="1:6" ht="24" customHeight="1">
      <c r="A36" s="336" t="s">
        <v>587</v>
      </c>
      <c r="B36" s="336" t="s">
        <v>588</v>
      </c>
      <c r="C36" s="336" t="s">
        <v>597</v>
      </c>
      <c r="D36" s="336" t="s">
        <v>629</v>
      </c>
      <c r="E36" s="336" t="s">
        <v>599</v>
      </c>
      <c r="F36" s="336" t="s">
        <v>600</v>
      </c>
    </row>
    <row r="37" spans="1:6" ht="24" customHeight="1">
      <c r="A37" s="336" t="s">
        <v>587</v>
      </c>
      <c r="B37" s="336" t="s">
        <v>588</v>
      </c>
      <c r="C37" s="336" t="s">
        <v>597</v>
      </c>
      <c r="D37" s="336" t="s">
        <v>630</v>
      </c>
      <c r="E37" s="336" t="s">
        <v>599</v>
      </c>
      <c r="F37" s="336" t="s">
        <v>600</v>
      </c>
    </row>
    <row r="38" spans="1:6" ht="24" customHeight="1">
      <c r="A38" s="336" t="s">
        <v>587</v>
      </c>
      <c r="B38" s="336" t="s">
        <v>588</v>
      </c>
      <c r="C38" s="336" t="s">
        <v>597</v>
      </c>
      <c r="D38" s="336" t="s">
        <v>631</v>
      </c>
      <c r="E38" s="336" t="s">
        <v>599</v>
      </c>
      <c r="F38" s="336" t="s">
        <v>600</v>
      </c>
    </row>
    <row r="39" spans="1:6" ht="24" customHeight="1">
      <c r="A39" s="336" t="s">
        <v>587</v>
      </c>
      <c r="B39" s="336" t="s">
        <v>588</v>
      </c>
      <c r="C39" s="336" t="s">
        <v>597</v>
      </c>
      <c r="D39" s="336" t="s">
        <v>632</v>
      </c>
      <c r="E39" s="336" t="s">
        <v>599</v>
      </c>
      <c r="F39" s="336" t="s">
        <v>600</v>
      </c>
    </row>
    <row r="40" spans="1:6" ht="24" customHeight="1">
      <c r="A40" s="336" t="s">
        <v>587</v>
      </c>
      <c r="B40" s="336" t="s">
        <v>588</v>
      </c>
      <c r="C40" s="336" t="s">
        <v>597</v>
      </c>
      <c r="D40" s="336" t="s">
        <v>633</v>
      </c>
      <c r="E40" s="336" t="s">
        <v>599</v>
      </c>
      <c r="F40" s="336" t="s">
        <v>600</v>
      </c>
    </row>
    <row r="41" spans="1:6" ht="24" customHeight="1">
      <c r="A41" s="336" t="s">
        <v>587</v>
      </c>
      <c r="B41" s="336" t="s">
        <v>588</v>
      </c>
      <c r="C41" s="336" t="s">
        <v>597</v>
      </c>
      <c r="D41" s="336" t="s">
        <v>634</v>
      </c>
      <c r="E41" s="336" t="s">
        <v>599</v>
      </c>
      <c r="F41" s="336" t="s">
        <v>600</v>
      </c>
    </row>
    <row r="42" spans="1:6" ht="24" customHeight="1">
      <c r="A42" s="336" t="s">
        <v>587</v>
      </c>
      <c r="B42" s="336" t="s">
        <v>588</v>
      </c>
      <c r="C42" s="336" t="s">
        <v>597</v>
      </c>
      <c r="D42" s="336" t="s">
        <v>635</v>
      </c>
      <c r="E42" s="336" t="s">
        <v>599</v>
      </c>
      <c r="F42" s="336" t="s">
        <v>600</v>
      </c>
    </row>
    <row r="43" spans="1:6" ht="24" customHeight="1">
      <c r="A43" s="336" t="s">
        <v>587</v>
      </c>
      <c r="B43" s="336" t="s">
        <v>588</v>
      </c>
      <c r="C43" s="336" t="s">
        <v>597</v>
      </c>
      <c r="D43" s="336" t="s">
        <v>636</v>
      </c>
      <c r="E43" s="336" t="s">
        <v>599</v>
      </c>
      <c r="F43" s="336" t="s">
        <v>600</v>
      </c>
    </row>
    <row r="44" spans="1:6" ht="24" customHeight="1">
      <c r="A44" s="336" t="s">
        <v>587</v>
      </c>
      <c r="B44" s="336" t="s">
        <v>588</v>
      </c>
      <c r="C44" s="336" t="s">
        <v>597</v>
      </c>
      <c r="D44" s="336" t="s">
        <v>637</v>
      </c>
      <c r="E44" s="336" t="s">
        <v>599</v>
      </c>
      <c r="F44" s="336" t="s">
        <v>600</v>
      </c>
    </row>
    <row r="45" spans="1:6" ht="24" customHeight="1">
      <c r="A45" s="336" t="s">
        <v>587</v>
      </c>
      <c r="B45" s="336" t="s">
        <v>588</v>
      </c>
      <c r="C45" s="336" t="s">
        <v>597</v>
      </c>
      <c r="D45" s="336" t="s">
        <v>638</v>
      </c>
      <c r="E45" s="336" t="s">
        <v>599</v>
      </c>
      <c r="F45" s="336" t="s">
        <v>600</v>
      </c>
    </row>
    <row r="46" spans="1:6" ht="24" customHeight="1">
      <c r="A46" s="336" t="s">
        <v>587</v>
      </c>
      <c r="B46" s="336" t="s">
        <v>588</v>
      </c>
      <c r="C46" s="336" t="s">
        <v>597</v>
      </c>
      <c r="D46" s="336" t="s">
        <v>639</v>
      </c>
      <c r="E46" s="336" t="s">
        <v>599</v>
      </c>
      <c r="F46" s="336" t="s">
        <v>600</v>
      </c>
    </row>
    <row r="47" spans="1:6" ht="24" customHeight="1">
      <c r="A47" s="336" t="s">
        <v>587</v>
      </c>
      <c r="B47" s="336" t="s">
        <v>588</v>
      </c>
      <c r="C47" s="336" t="s">
        <v>640</v>
      </c>
      <c r="D47" s="336" t="s">
        <v>547</v>
      </c>
      <c r="E47" s="336" t="s">
        <v>590</v>
      </c>
      <c r="F47" s="336" t="s">
        <v>641</v>
      </c>
    </row>
    <row r="48" spans="1:6" ht="24" customHeight="1">
      <c r="A48" s="336" t="s">
        <v>587</v>
      </c>
      <c r="B48" s="336" t="s">
        <v>588</v>
      </c>
      <c r="C48" s="336" t="s">
        <v>640</v>
      </c>
      <c r="D48" s="336" t="s">
        <v>552</v>
      </c>
      <c r="E48" s="336" t="s">
        <v>590</v>
      </c>
      <c r="F48" s="336" t="s">
        <v>641</v>
      </c>
    </row>
    <row r="49" spans="1:6" ht="24" customHeight="1">
      <c r="A49" s="336" t="s">
        <v>587</v>
      </c>
      <c r="B49" s="336" t="s">
        <v>588</v>
      </c>
      <c r="C49" s="336" t="s">
        <v>640</v>
      </c>
      <c r="D49" s="336" t="s">
        <v>555</v>
      </c>
      <c r="E49" s="336" t="s">
        <v>590</v>
      </c>
      <c r="F49" s="336" t="s">
        <v>641</v>
      </c>
    </row>
    <row r="50" spans="1:6" ht="24" customHeight="1">
      <c r="A50" s="336" t="s">
        <v>587</v>
      </c>
      <c r="B50" s="336" t="s">
        <v>588</v>
      </c>
      <c r="C50" s="336" t="s">
        <v>640</v>
      </c>
      <c r="D50" s="336" t="s">
        <v>560</v>
      </c>
      <c r="E50" s="336" t="s">
        <v>590</v>
      </c>
      <c r="F50" s="336" t="s">
        <v>641</v>
      </c>
    </row>
    <row r="51" spans="1:6" ht="24" customHeight="1">
      <c r="A51" s="336" t="s">
        <v>587</v>
      </c>
      <c r="B51" s="336" t="s">
        <v>588</v>
      </c>
      <c r="C51" s="336" t="s">
        <v>642</v>
      </c>
      <c r="D51" s="336" t="s">
        <v>643</v>
      </c>
      <c r="E51" s="336" t="s">
        <v>644</v>
      </c>
      <c r="F51" s="336" t="s">
        <v>645</v>
      </c>
    </row>
    <row r="52" spans="1:6" ht="24" customHeight="1">
      <c r="A52" s="336" t="s">
        <v>587</v>
      </c>
      <c r="B52" s="336" t="s">
        <v>588</v>
      </c>
      <c r="C52" s="336" t="s">
        <v>646</v>
      </c>
      <c r="D52" s="336" t="s">
        <v>647</v>
      </c>
      <c r="E52" s="336" t="s">
        <v>590</v>
      </c>
      <c r="F52" s="336" t="s">
        <v>648</v>
      </c>
    </row>
    <row r="53" spans="1:6" ht="24" customHeight="1">
      <c r="A53" s="336" t="s">
        <v>587</v>
      </c>
      <c r="B53" s="336" t="s">
        <v>588</v>
      </c>
      <c r="C53" s="336" t="s">
        <v>646</v>
      </c>
      <c r="D53" s="336" t="s">
        <v>649</v>
      </c>
      <c r="E53" s="336" t="s">
        <v>590</v>
      </c>
      <c r="F53" s="336" t="s">
        <v>648</v>
      </c>
    </row>
    <row r="54" spans="1:6" ht="24" customHeight="1">
      <c r="A54" s="336" t="s">
        <v>587</v>
      </c>
      <c r="B54" s="336" t="s">
        <v>588</v>
      </c>
      <c r="C54" s="336" t="s">
        <v>646</v>
      </c>
      <c r="D54" s="336" t="s">
        <v>650</v>
      </c>
      <c r="E54" s="336" t="s">
        <v>590</v>
      </c>
      <c r="F54" s="336" t="s">
        <v>648</v>
      </c>
    </row>
    <row r="55" spans="1:6" ht="24" customHeight="1">
      <c r="A55" s="336" t="s">
        <v>587</v>
      </c>
      <c r="B55" s="336" t="s">
        <v>588</v>
      </c>
      <c r="C55" s="336" t="s">
        <v>651</v>
      </c>
      <c r="D55" s="336" t="s">
        <v>652</v>
      </c>
      <c r="E55" s="336" t="s">
        <v>590</v>
      </c>
      <c r="F55" s="336" t="s">
        <v>653</v>
      </c>
    </row>
    <row r="56" spans="1:6" ht="24" customHeight="1">
      <c r="A56" s="336" t="s">
        <v>587</v>
      </c>
      <c r="B56" s="336" t="s">
        <v>588</v>
      </c>
      <c r="C56" s="336" t="s">
        <v>651</v>
      </c>
      <c r="D56" s="336" t="s">
        <v>654</v>
      </c>
      <c r="E56" s="336" t="s">
        <v>590</v>
      </c>
      <c r="F56" s="336" t="s">
        <v>653</v>
      </c>
    </row>
    <row r="57" spans="1:6" ht="24" customHeight="1">
      <c r="A57" s="336" t="s">
        <v>587</v>
      </c>
      <c r="B57" s="336" t="s">
        <v>588</v>
      </c>
      <c r="C57" s="336" t="s">
        <v>651</v>
      </c>
      <c r="D57" s="336" t="s">
        <v>655</v>
      </c>
      <c r="E57" s="336" t="s">
        <v>590</v>
      </c>
      <c r="F57" s="336" t="s">
        <v>653</v>
      </c>
    </row>
    <row r="58" spans="1:6" ht="24" customHeight="1">
      <c r="A58" s="336" t="s">
        <v>587</v>
      </c>
      <c r="B58" s="336" t="s">
        <v>588</v>
      </c>
      <c r="C58" s="336" t="s">
        <v>651</v>
      </c>
      <c r="D58" s="336" t="s">
        <v>656</v>
      </c>
      <c r="E58" s="336" t="s">
        <v>590</v>
      </c>
      <c r="F58" s="336" t="s">
        <v>653</v>
      </c>
    </row>
    <row r="59" spans="1:6" ht="24" customHeight="1">
      <c r="A59" s="336" t="s">
        <v>587</v>
      </c>
      <c r="B59" s="336" t="s">
        <v>588</v>
      </c>
      <c r="C59" s="336" t="s">
        <v>651</v>
      </c>
      <c r="D59" s="336" t="s">
        <v>657</v>
      </c>
      <c r="E59" s="336" t="s">
        <v>590</v>
      </c>
      <c r="F59" s="336" t="s">
        <v>653</v>
      </c>
    </row>
    <row r="60" spans="1:6" ht="24" customHeight="1">
      <c r="A60" s="336" t="s">
        <v>587</v>
      </c>
      <c r="B60" s="336" t="s">
        <v>588</v>
      </c>
      <c r="C60" s="336" t="s">
        <v>651</v>
      </c>
      <c r="D60" s="336" t="s">
        <v>658</v>
      </c>
      <c r="E60" s="336" t="s">
        <v>590</v>
      </c>
      <c r="F60" s="336" t="s">
        <v>653</v>
      </c>
    </row>
    <row r="61" spans="1:6" ht="24" customHeight="1">
      <c r="A61" s="336" t="s">
        <v>587</v>
      </c>
      <c r="B61" s="336" t="s">
        <v>588</v>
      </c>
      <c r="C61" s="336" t="s">
        <v>659</v>
      </c>
      <c r="D61" s="336" t="s">
        <v>660</v>
      </c>
      <c r="E61" s="336" t="s">
        <v>590</v>
      </c>
      <c r="F61" s="336" t="s">
        <v>661</v>
      </c>
    </row>
    <row r="62" spans="1:6" ht="24" customHeight="1">
      <c r="A62" s="336" t="s">
        <v>587</v>
      </c>
      <c r="B62" s="336" t="s">
        <v>588</v>
      </c>
      <c r="C62" s="336" t="s">
        <v>659</v>
      </c>
      <c r="D62" s="336" t="s">
        <v>662</v>
      </c>
      <c r="E62" s="336" t="s">
        <v>590</v>
      </c>
      <c r="F62" s="336" t="s">
        <v>661</v>
      </c>
    </row>
    <row r="63" spans="1:6" ht="24" customHeight="1">
      <c r="A63" s="336" t="s">
        <v>587</v>
      </c>
      <c r="B63" s="336" t="s">
        <v>588</v>
      </c>
      <c r="C63" s="336" t="s">
        <v>659</v>
      </c>
      <c r="D63" s="336" t="s">
        <v>663</v>
      </c>
      <c r="E63" s="336" t="s">
        <v>590</v>
      </c>
      <c r="F63" s="336" t="s">
        <v>661</v>
      </c>
    </row>
    <row r="64" spans="1:6" ht="24" customHeight="1">
      <c r="A64" s="336" t="s">
        <v>587</v>
      </c>
      <c r="B64" s="336" t="s">
        <v>588</v>
      </c>
      <c r="C64" s="336" t="s">
        <v>659</v>
      </c>
      <c r="D64" s="336" t="s">
        <v>664</v>
      </c>
      <c r="E64" s="336" t="s">
        <v>590</v>
      </c>
      <c r="F64" s="336" t="s">
        <v>661</v>
      </c>
    </row>
    <row r="65" spans="1:6" ht="24" customHeight="1">
      <c r="A65" s="336" t="s">
        <v>587</v>
      </c>
      <c r="B65" s="336" t="s">
        <v>588</v>
      </c>
      <c r="C65" s="336" t="s">
        <v>659</v>
      </c>
      <c r="D65" s="336" t="s">
        <v>665</v>
      </c>
      <c r="E65" s="336" t="s">
        <v>590</v>
      </c>
      <c r="F65" s="336" t="s">
        <v>661</v>
      </c>
    </row>
    <row r="66" spans="1:6" ht="24" customHeight="1">
      <c r="A66" s="336" t="s">
        <v>587</v>
      </c>
      <c r="B66" s="336" t="s">
        <v>588</v>
      </c>
      <c r="C66" s="336" t="s">
        <v>659</v>
      </c>
      <c r="D66" s="336" t="s">
        <v>666</v>
      </c>
      <c r="E66" s="336" t="s">
        <v>590</v>
      </c>
      <c r="F66" s="336" t="s">
        <v>661</v>
      </c>
    </row>
    <row r="67" spans="1:6" ht="24" customHeight="1">
      <c r="A67" s="336" t="s">
        <v>587</v>
      </c>
      <c r="B67" s="336" t="s">
        <v>588</v>
      </c>
      <c r="C67" s="336" t="s">
        <v>659</v>
      </c>
      <c r="D67" s="336" t="s">
        <v>667</v>
      </c>
      <c r="E67" s="336" t="s">
        <v>590</v>
      </c>
      <c r="F67" s="336" t="s">
        <v>661</v>
      </c>
    </row>
    <row r="68" spans="1:6" ht="24" customHeight="1">
      <c r="A68" s="336" t="s">
        <v>587</v>
      </c>
      <c r="B68" s="336" t="s">
        <v>588</v>
      </c>
      <c r="C68" s="336" t="s">
        <v>659</v>
      </c>
      <c r="D68" s="336" t="s">
        <v>668</v>
      </c>
      <c r="E68" s="336" t="s">
        <v>590</v>
      </c>
      <c r="F68" s="336" t="s">
        <v>661</v>
      </c>
    </row>
    <row r="69" spans="1:6" ht="24" customHeight="1">
      <c r="A69" s="336" t="s">
        <v>587</v>
      </c>
      <c r="B69" s="336" t="s">
        <v>588</v>
      </c>
      <c r="C69" s="336" t="s">
        <v>659</v>
      </c>
      <c r="D69" s="336" t="s">
        <v>669</v>
      </c>
      <c r="E69" s="336" t="s">
        <v>590</v>
      </c>
      <c r="F69" s="336" t="s">
        <v>661</v>
      </c>
    </row>
    <row r="70" spans="1:6" ht="24" customHeight="1">
      <c r="A70" s="336" t="s">
        <v>587</v>
      </c>
      <c r="B70" s="336" t="s">
        <v>588</v>
      </c>
      <c r="C70" s="336" t="s">
        <v>659</v>
      </c>
      <c r="D70" s="336" t="s">
        <v>670</v>
      </c>
      <c r="E70" s="336" t="s">
        <v>590</v>
      </c>
      <c r="F70" s="336" t="s">
        <v>661</v>
      </c>
    </row>
    <row r="71" spans="1:6" ht="24" customHeight="1">
      <c r="A71" s="336" t="s">
        <v>587</v>
      </c>
      <c r="B71" s="336" t="s">
        <v>588</v>
      </c>
      <c r="C71" s="336" t="s">
        <v>671</v>
      </c>
      <c r="D71" s="336" t="s">
        <v>672</v>
      </c>
      <c r="E71" s="336" t="s">
        <v>644</v>
      </c>
      <c r="F71" s="336" t="s">
        <v>673</v>
      </c>
    </row>
    <row r="72" spans="1:6" ht="24" customHeight="1">
      <c r="A72" s="336" t="s">
        <v>587</v>
      </c>
      <c r="B72" s="336" t="s">
        <v>588</v>
      </c>
      <c r="C72" s="336" t="s">
        <v>671</v>
      </c>
      <c r="D72" s="336" t="s">
        <v>674</v>
      </c>
      <c r="E72" s="336" t="s">
        <v>644</v>
      </c>
      <c r="F72" s="336" t="s">
        <v>673</v>
      </c>
    </row>
    <row r="73" spans="1:6" ht="24" customHeight="1">
      <c r="A73" s="336" t="s">
        <v>587</v>
      </c>
      <c r="B73" s="336" t="s">
        <v>588</v>
      </c>
      <c r="C73" s="336" t="s">
        <v>671</v>
      </c>
      <c r="D73" s="336" t="s">
        <v>675</v>
      </c>
      <c r="E73" s="336" t="s">
        <v>644</v>
      </c>
      <c r="F73" s="336" t="s">
        <v>673</v>
      </c>
    </row>
    <row r="74" spans="1:6" ht="24" customHeight="1">
      <c r="A74" s="336" t="s">
        <v>587</v>
      </c>
      <c r="B74" s="336" t="s">
        <v>588</v>
      </c>
      <c r="C74" s="336" t="s">
        <v>671</v>
      </c>
      <c r="D74" s="336" t="s">
        <v>676</v>
      </c>
      <c r="E74" s="336" t="s">
        <v>644</v>
      </c>
      <c r="F74" s="336" t="s">
        <v>673</v>
      </c>
    </row>
    <row r="75" spans="1:6" ht="24" customHeight="1">
      <c r="A75" s="336" t="s">
        <v>587</v>
      </c>
      <c r="B75" s="336" t="s">
        <v>588</v>
      </c>
      <c r="C75" s="336" t="s">
        <v>671</v>
      </c>
      <c r="D75" s="336" t="s">
        <v>677</v>
      </c>
      <c r="E75" s="336" t="s">
        <v>644</v>
      </c>
      <c r="F75" s="336" t="s">
        <v>673</v>
      </c>
    </row>
    <row r="76" spans="1:6" ht="24" customHeight="1">
      <c r="A76" s="336" t="s">
        <v>587</v>
      </c>
      <c r="B76" s="336" t="s">
        <v>588</v>
      </c>
      <c r="C76" s="336" t="s">
        <v>671</v>
      </c>
      <c r="D76" s="336" t="s">
        <v>678</v>
      </c>
      <c r="E76" s="336" t="s">
        <v>644</v>
      </c>
      <c r="F76" s="336" t="s">
        <v>673</v>
      </c>
    </row>
    <row r="77" spans="1:6" ht="24" customHeight="1">
      <c r="A77" s="336" t="s">
        <v>587</v>
      </c>
      <c r="B77" s="336" t="s">
        <v>588</v>
      </c>
      <c r="C77" s="336" t="s">
        <v>679</v>
      </c>
      <c r="D77" s="336" t="s">
        <v>680</v>
      </c>
      <c r="E77" s="336" t="s">
        <v>590</v>
      </c>
      <c r="F77" s="336" t="s">
        <v>681</v>
      </c>
    </row>
    <row r="78" spans="1:6" ht="24" customHeight="1">
      <c r="A78" s="336" t="s">
        <v>587</v>
      </c>
      <c r="B78" s="336" t="s">
        <v>588</v>
      </c>
      <c r="C78" s="336" t="s">
        <v>679</v>
      </c>
      <c r="D78" s="336" t="s">
        <v>682</v>
      </c>
      <c r="E78" s="336" t="s">
        <v>590</v>
      </c>
      <c r="F78" s="336" t="s">
        <v>681</v>
      </c>
    </row>
    <row r="79" spans="1:6" ht="24" customHeight="1">
      <c r="A79" s="336" t="s">
        <v>587</v>
      </c>
      <c r="B79" s="336" t="s">
        <v>588</v>
      </c>
      <c r="C79" s="336" t="s">
        <v>679</v>
      </c>
      <c r="D79" s="336" t="s">
        <v>683</v>
      </c>
      <c r="E79" s="336" t="s">
        <v>590</v>
      </c>
      <c r="F79" s="336" t="s">
        <v>681</v>
      </c>
    </row>
    <row r="80" spans="1:6" ht="24" customHeight="1">
      <c r="A80" s="336" t="s">
        <v>587</v>
      </c>
      <c r="B80" s="336" t="s">
        <v>588</v>
      </c>
      <c r="C80" s="336" t="s">
        <v>679</v>
      </c>
      <c r="D80" s="336" t="s">
        <v>684</v>
      </c>
      <c r="E80" s="336" t="s">
        <v>590</v>
      </c>
      <c r="F80" s="336" t="s">
        <v>681</v>
      </c>
    </row>
    <row r="81" spans="1:6" ht="24" customHeight="1">
      <c r="A81" s="336" t="s">
        <v>587</v>
      </c>
      <c r="B81" s="336" t="s">
        <v>588</v>
      </c>
      <c r="C81" s="336" t="s">
        <v>679</v>
      </c>
      <c r="D81" s="336" t="s">
        <v>685</v>
      </c>
      <c r="E81" s="336" t="s">
        <v>590</v>
      </c>
      <c r="F81" s="336" t="s">
        <v>681</v>
      </c>
    </row>
    <row r="82" spans="1:6" ht="24" customHeight="1">
      <c r="A82" s="336" t="s">
        <v>587</v>
      </c>
      <c r="B82" s="336" t="s">
        <v>588</v>
      </c>
      <c r="C82" s="336" t="s">
        <v>679</v>
      </c>
      <c r="D82" s="336" t="s">
        <v>686</v>
      </c>
      <c r="E82" s="336" t="s">
        <v>590</v>
      </c>
      <c r="F82" s="336" t="s">
        <v>681</v>
      </c>
    </row>
    <row r="83" spans="1:6" ht="24" customHeight="1">
      <c r="A83" s="336" t="s">
        <v>587</v>
      </c>
      <c r="B83" s="336" t="s">
        <v>588</v>
      </c>
      <c r="C83" s="336" t="s">
        <v>687</v>
      </c>
      <c r="D83" s="336" t="s">
        <v>573</v>
      </c>
      <c r="E83" s="336" t="s">
        <v>590</v>
      </c>
      <c r="F83" s="336" t="s">
        <v>688</v>
      </c>
    </row>
    <row r="84" spans="1:6" ht="24" customHeight="1">
      <c r="A84" s="336" t="s">
        <v>587</v>
      </c>
      <c r="B84" s="336" t="s">
        <v>588</v>
      </c>
      <c r="C84" s="336" t="s">
        <v>687</v>
      </c>
      <c r="D84" s="336" t="s">
        <v>576</v>
      </c>
      <c r="E84" s="336" t="s">
        <v>590</v>
      </c>
      <c r="F84" s="336" t="s">
        <v>688</v>
      </c>
    </row>
    <row r="85" spans="1:6" ht="24" customHeight="1">
      <c r="A85" s="336" t="s">
        <v>587</v>
      </c>
      <c r="B85" s="336" t="s">
        <v>588</v>
      </c>
      <c r="C85" s="336" t="s">
        <v>687</v>
      </c>
      <c r="D85" s="336" t="s">
        <v>579</v>
      </c>
      <c r="E85" s="336" t="s">
        <v>590</v>
      </c>
      <c r="F85" s="336" t="s">
        <v>688</v>
      </c>
    </row>
    <row r="86" spans="1:6" ht="24" customHeight="1">
      <c r="A86" s="336" t="s">
        <v>587</v>
      </c>
      <c r="B86" s="336" t="s">
        <v>588</v>
      </c>
      <c r="C86" s="336" t="s">
        <v>689</v>
      </c>
      <c r="D86" s="336" t="s">
        <v>366</v>
      </c>
      <c r="E86" s="336" t="s">
        <v>590</v>
      </c>
      <c r="F86" s="336" t="s">
        <v>690</v>
      </c>
    </row>
    <row r="87" spans="1:6" ht="24" customHeight="1">
      <c r="A87" s="336" t="s">
        <v>587</v>
      </c>
      <c r="B87" s="336" t="s">
        <v>588</v>
      </c>
      <c r="C87" s="336" t="s">
        <v>689</v>
      </c>
      <c r="D87" s="336" t="s">
        <v>371</v>
      </c>
      <c r="E87" s="336" t="s">
        <v>590</v>
      </c>
      <c r="F87" s="336" t="s">
        <v>690</v>
      </c>
    </row>
    <row r="88" spans="1:6" ht="24" customHeight="1">
      <c r="A88" s="336" t="s">
        <v>587</v>
      </c>
      <c r="B88" s="336" t="s">
        <v>588</v>
      </c>
      <c r="C88" s="336" t="s">
        <v>689</v>
      </c>
      <c r="D88" s="336" t="s">
        <v>374</v>
      </c>
      <c r="E88" s="336" t="s">
        <v>590</v>
      </c>
      <c r="F88" s="336" t="s">
        <v>690</v>
      </c>
    </row>
    <row r="89" spans="1:6" ht="24" customHeight="1">
      <c r="A89" s="336" t="s">
        <v>587</v>
      </c>
      <c r="B89" s="336" t="s">
        <v>588</v>
      </c>
      <c r="C89" s="336" t="s">
        <v>689</v>
      </c>
      <c r="D89" s="336" t="s">
        <v>377</v>
      </c>
      <c r="E89" s="336" t="s">
        <v>590</v>
      </c>
      <c r="F89" s="336" t="s">
        <v>690</v>
      </c>
    </row>
    <row r="90" spans="1:6" ht="24" customHeight="1">
      <c r="A90" s="336" t="s">
        <v>587</v>
      </c>
      <c r="B90" s="336" t="s">
        <v>588</v>
      </c>
      <c r="C90" s="336" t="s">
        <v>689</v>
      </c>
      <c r="D90" s="336" t="s">
        <v>380</v>
      </c>
      <c r="E90" s="336" t="s">
        <v>590</v>
      </c>
      <c r="F90" s="336" t="s">
        <v>690</v>
      </c>
    </row>
    <row r="91" spans="1:6" ht="24" customHeight="1">
      <c r="A91" s="336" t="s">
        <v>587</v>
      </c>
      <c r="B91" s="336" t="s">
        <v>588</v>
      </c>
      <c r="C91" s="336" t="s">
        <v>691</v>
      </c>
      <c r="D91" s="336" t="s">
        <v>242</v>
      </c>
      <c r="E91" s="336" t="s">
        <v>590</v>
      </c>
      <c r="F91" s="336" t="s">
        <v>692</v>
      </c>
    </row>
    <row r="92" spans="1:6" ht="24" customHeight="1">
      <c r="A92" s="336" t="s">
        <v>587</v>
      </c>
      <c r="B92" s="336" t="s">
        <v>588</v>
      </c>
      <c r="C92" s="336" t="s">
        <v>691</v>
      </c>
      <c r="D92" s="336" t="s">
        <v>251</v>
      </c>
      <c r="E92" s="336" t="s">
        <v>590</v>
      </c>
      <c r="F92" s="336" t="s">
        <v>692</v>
      </c>
    </row>
    <row r="93" spans="1:6" ht="24" customHeight="1">
      <c r="A93" s="336" t="s">
        <v>587</v>
      </c>
      <c r="B93" s="336" t="s">
        <v>588</v>
      </c>
      <c r="C93" s="336" t="s">
        <v>691</v>
      </c>
      <c r="D93" s="336" t="s">
        <v>254</v>
      </c>
      <c r="E93" s="336" t="s">
        <v>590</v>
      </c>
      <c r="F93" s="336" t="s">
        <v>692</v>
      </c>
    </row>
    <row r="94" spans="1:6" ht="24" customHeight="1">
      <c r="A94" s="336" t="s">
        <v>587</v>
      </c>
      <c r="B94" s="336" t="s">
        <v>588</v>
      </c>
      <c r="C94" s="336" t="s">
        <v>691</v>
      </c>
      <c r="D94" s="336" t="s">
        <v>259</v>
      </c>
      <c r="E94" s="336" t="s">
        <v>590</v>
      </c>
      <c r="F94" s="336" t="s">
        <v>692</v>
      </c>
    </row>
    <row r="95" spans="1:6" ht="24" customHeight="1">
      <c r="A95" s="336" t="s">
        <v>587</v>
      </c>
      <c r="B95" s="336" t="s">
        <v>588</v>
      </c>
      <c r="C95" s="336" t="s">
        <v>691</v>
      </c>
      <c r="D95" s="336" t="s">
        <v>693</v>
      </c>
      <c r="E95" s="336" t="s">
        <v>590</v>
      </c>
      <c r="F95" s="336" t="s">
        <v>692</v>
      </c>
    </row>
    <row r="96" spans="1:6" ht="24" customHeight="1">
      <c r="A96" s="336" t="s">
        <v>587</v>
      </c>
      <c r="B96" s="336" t="s">
        <v>588</v>
      </c>
      <c r="C96" s="336" t="s">
        <v>691</v>
      </c>
      <c r="D96" s="336" t="s">
        <v>285</v>
      </c>
      <c r="E96" s="336" t="s">
        <v>590</v>
      </c>
      <c r="F96" s="336" t="s">
        <v>692</v>
      </c>
    </row>
    <row r="97" spans="1:6" ht="24" customHeight="1">
      <c r="A97" s="336" t="s">
        <v>587</v>
      </c>
      <c r="B97" s="336" t="s">
        <v>588</v>
      </c>
      <c r="C97" s="336" t="s">
        <v>691</v>
      </c>
      <c r="D97" s="336" t="s">
        <v>290</v>
      </c>
      <c r="E97" s="336" t="s">
        <v>590</v>
      </c>
      <c r="F97" s="336" t="s">
        <v>692</v>
      </c>
    </row>
    <row r="98" spans="1:6" ht="24" customHeight="1">
      <c r="A98" s="336" t="s">
        <v>587</v>
      </c>
      <c r="B98" s="336" t="s">
        <v>588</v>
      </c>
      <c r="C98" s="336" t="s">
        <v>691</v>
      </c>
      <c r="D98" s="336" t="s">
        <v>293</v>
      </c>
      <c r="E98" s="336" t="s">
        <v>590</v>
      </c>
      <c r="F98" s="336" t="s">
        <v>692</v>
      </c>
    </row>
    <row r="99" spans="1:6" ht="24" customHeight="1">
      <c r="A99" s="336" t="s">
        <v>587</v>
      </c>
      <c r="B99" s="336" t="s">
        <v>588</v>
      </c>
      <c r="C99" s="336" t="s">
        <v>691</v>
      </c>
      <c r="D99" s="336" t="s">
        <v>264</v>
      </c>
      <c r="E99" s="336" t="s">
        <v>590</v>
      </c>
      <c r="F99" s="336" t="s">
        <v>692</v>
      </c>
    </row>
    <row r="100" spans="1:6" ht="24" customHeight="1">
      <c r="A100" s="336" t="s">
        <v>587</v>
      </c>
      <c r="B100" s="336" t="s">
        <v>588</v>
      </c>
      <c r="C100" s="336" t="s">
        <v>691</v>
      </c>
      <c r="D100" s="336" t="s">
        <v>271</v>
      </c>
      <c r="E100" s="336" t="s">
        <v>590</v>
      </c>
      <c r="F100" s="336" t="s">
        <v>692</v>
      </c>
    </row>
    <row r="101" spans="1:6" ht="24" customHeight="1">
      <c r="A101" s="336" t="s">
        <v>587</v>
      </c>
      <c r="B101" s="336" t="s">
        <v>588</v>
      </c>
      <c r="C101" s="336" t="s">
        <v>691</v>
      </c>
      <c r="D101" s="336" t="s">
        <v>274</v>
      </c>
      <c r="E101" s="336" t="s">
        <v>590</v>
      </c>
      <c r="F101" s="336" t="s">
        <v>692</v>
      </c>
    </row>
    <row r="102" spans="1:6" ht="24" customHeight="1">
      <c r="A102" s="336" t="s">
        <v>587</v>
      </c>
      <c r="B102" s="336" t="s">
        <v>588</v>
      </c>
      <c r="C102" s="336" t="s">
        <v>691</v>
      </c>
      <c r="D102" s="336" t="s">
        <v>296</v>
      </c>
      <c r="E102" s="336" t="s">
        <v>590</v>
      </c>
      <c r="F102" s="336" t="s">
        <v>692</v>
      </c>
    </row>
    <row r="103" spans="1:6" ht="24" customHeight="1">
      <c r="A103" s="336" t="s">
        <v>587</v>
      </c>
      <c r="B103" s="336" t="s">
        <v>588</v>
      </c>
      <c r="C103" s="336" t="s">
        <v>691</v>
      </c>
      <c r="D103" s="336" t="s">
        <v>299</v>
      </c>
      <c r="E103" s="336" t="s">
        <v>590</v>
      </c>
      <c r="F103" s="336" t="s">
        <v>692</v>
      </c>
    </row>
    <row r="104" spans="1:6" ht="24" customHeight="1">
      <c r="A104" s="336" t="s">
        <v>587</v>
      </c>
      <c r="B104" s="336" t="s">
        <v>588</v>
      </c>
      <c r="C104" s="336" t="s">
        <v>691</v>
      </c>
      <c r="D104" s="336" t="s">
        <v>302</v>
      </c>
      <c r="E104" s="336" t="s">
        <v>590</v>
      </c>
      <c r="F104" s="336" t="s">
        <v>692</v>
      </c>
    </row>
    <row r="105" spans="1:6" ht="24" customHeight="1">
      <c r="A105" s="336" t="s">
        <v>587</v>
      </c>
      <c r="B105" s="336" t="s">
        <v>588</v>
      </c>
      <c r="C105" s="336" t="s">
        <v>691</v>
      </c>
      <c r="D105" s="336" t="s">
        <v>694</v>
      </c>
      <c r="E105" s="336" t="s">
        <v>590</v>
      </c>
      <c r="F105" s="336" t="s">
        <v>692</v>
      </c>
    </row>
    <row r="106" spans="1:6" ht="24" customHeight="1">
      <c r="A106" s="336" t="s">
        <v>587</v>
      </c>
      <c r="B106" s="336" t="s">
        <v>588</v>
      </c>
      <c r="C106" s="336" t="s">
        <v>691</v>
      </c>
      <c r="D106" s="336" t="s">
        <v>277</v>
      </c>
      <c r="E106" s="336" t="s">
        <v>590</v>
      </c>
      <c r="F106" s="336" t="s">
        <v>692</v>
      </c>
    </row>
    <row r="107" spans="1:6" ht="24" customHeight="1">
      <c r="A107" s="336" t="s">
        <v>587</v>
      </c>
      <c r="B107" s="336" t="s">
        <v>588</v>
      </c>
      <c r="C107" s="336" t="s">
        <v>691</v>
      </c>
      <c r="D107" s="336" t="s">
        <v>280</v>
      </c>
      <c r="E107" s="336" t="s">
        <v>590</v>
      </c>
      <c r="F107" s="336" t="s">
        <v>692</v>
      </c>
    </row>
    <row r="108" spans="1:6" ht="24" customHeight="1">
      <c r="A108" s="336" t="s">
        <v>587</v>
      </c>
      <c r="B108" s="336" t="s">
        <v>588</v>
      </c>
      <c r="C108" s="336" t="s">
        <v>695</v>
      </c>
      <c r="D108" s="336" t="s">
        <v>318</v>
      </c>
      <c r="E108" s="336" t="s">
        <v>590</v>
      </c>
      <c r="F108" s="336" t="s">
        <v>696</v>
      </c>
    </row>
    <row r="109" spans="1:6" ht="24" customHeight="1">
      <c r="A109" s="336" t="s">
        <v>587</v>
      </c>
      <c r="B109" s="336" t="s">
        <v>588</v>
      </c>
      <c r="C109" s="336" t="s">
        <v>695</v>
      </c>
      <c r="D109" s="336" t="s">
        <v>321</v>
      </c>
      <c r="E109" s="336" t="s">
        <v>590</v>
      </c>
      <c r="F109" s="336" t="s">
        <v>696</v>
      </c>
    </row>
    <row r="110" spans="1:6" ht="24" customHeight="1">
      <c r="A110" s="336" t="s">
        <v>587</v>
      </c>
      <c r="B110" s="336" t="s">
        <v>588</v>
      </c>
      <c r="C110" s="336" t="s">
        <v>695</v>
      </c>
      <c r="D110" s="336" t="s">
        <v>326</v>
      </c>
      <c r="E110" s="336" t="s">
        <v>590</v>
      </c>
      <c r="F110" s="336" t="s">
        <v>696</v>
      </c>
    </row>
    <row r="111" spans="1:6" ht="24" customHeight="1">
      <c r="A111" s="336" t="s">
        <v>587</v>
      </c>
      <c r="B111" s="336" t="s">
        <v>588</v>
      </c>
      <c r="C111" s="336" t="s">
        <v>695</v>
      </c>
      <c r="D111" s="336" t="s">
        <v>329</v>
      </c>
      <c r="E111" s="336" t="s">
        <v>590</v>
      </c>
      <c r="F111" s="336" t="s">
        <v>696</v>
      </c>
    </row>
    <row r="112" spans="1:6" ht="24" customHeight="1">
      <c r="A112" s="336" t="s">
        <v>587</v>
      </c>
      <c r="B112" s="336" t="s">
        <v>588</v>
      </c>
      <c r="C112" s="336" t="s">
        <v>695</v>
      </c>
      <c r="D112" s="336" t="s">
        <v>332</v>
      </c>
      <c r="E112" s="336" t="s">
        <v>590</v>
      </c>
      <c r="F112" s="336" t="s">
        <v>696</v>
      </c>
    </row>
    <row r="113" spans="1:6" ht="24" customHeight="1">
      <c r="A113" s="336" t="s">
        <v>587</v>
      </c>
      <c r="B113" s="336" t="s">
        <v>588</v>
      </c>
      <c r="C113" s="336" t="s">
        <v>695</v>
      </c>
      <c r="D113" s="336" t="s">
        <v>335</v>
      </c>
      <c r="E113" s="336" t="s">
        <v>590</v>
      </c>
      <c r="F113" s="336" t="s">
        <v>696</v>
      </c>
    </row>
    <row r="114" spans="1:6" ht="24" customHeight="1">
      <c r="A114" s="336" t="s">
        <v>587</v>
      </c>
      <c r="B114" s="336" t="s">
        <v>588</v>
      </c>
      <c r="C114" s="336" t="s">
        <v>697</v>
      </c>
      <c r="D114" s="336" t="s">
        <v>340</v>
      </c>
      <c r="E114" s="336" t="s">
        <v>590</v>
      </c>
      <c r="F114" s="336" t="s">
        <v>698</v>
      </c>
    </row>
    <row r="115" spans="1:6" ht="24" customHeight="1">
      <c r="A115" s="336" t="s">
        <v>587</v>
      </c>
      <c r="B115" s="336" t="s">
        <v>588</v>
      </c>
      <c r="C115" s="336" t="s">
        <v>697</v>
      </c>
      <c r="D115" s="336" t="s">
        <v>343</v>
      </c>
      <c r="E115" s="336" t="s">
        <v>590</v>
      </c>
      <c r="F115" s="336" t="s">
        <v>698</v>
      </c>
    </row>
    <row r="116" spans="1:6" ht="24" customHeight="1">
      <c r="A116" s="336" t="s">
        <v>587</v>
      </c>
      <c r="B116" s="336" t="s">
        <v>588</v>
      </c>
      <c r="C116" s="336" t="s">
        <v>697</v>
      </c>
      <c r="D116" s="336" t="s">
        <v>346</v>
      </c>
      <c r="E116" s="336" t="s">
        <v>590</v>
      </c>
      <c r="F116" s="336" t="s">
        <v>698</v>
      </c>
    </row>
    <row r="117" spans="1:6" ht="24" customHeight="1">
      <c r="A117" s="336" t="s">
        <v>587</v>
      </c>
      <c r="B117" s="336" t="s">
        <v>588</v>
      </c>
      <c r="C117" s="336" t="s">
        <v>697</v>
      </c>
      <c r="D117" s="336" t="s">
        <v>349</v>
      </c>
      <c r="E117" s="336" t="s">
        <v>590</v>
      </c>
      <c r="F117" s="336" t="s">
        <v>698</v>
      </c>
    </row>
    <row r="118" spans="1:6" ht="24" customHeight="1">
      <c r="A118" s="336" t="s">
        <v>587</v>
      </c>
      <c r="B118" s="336" t="s">
        <v>588</v>
      </c>
      <c r="C118" s="336" t="s">
        <v>697</v>
      </c>
      <c r="D118" s="336" t="s">
        <v>352</v>
      </c>
      <c r="E118" s="336" t="s">
        <v>590</v>
      </c>
      <c r="F118" s="336" t="s">
        <v>698</v>
      </c>
    </row>
    <row r="119" spans="1:6" ht="24" customHeight="1">
      <c r="A119" s="336" t="s">
        <v>587</v>
      </c>
      <c r="B119" s="336" t="s">
        <v>588</v>
      </c>
      <c r="C119" s="336" t="s">
        <v>697</v>
      </c>
      <c r="D119" s="336" t="s">
        <v>355</v>
      </c>
      <c r="E119" s="336" t="s">
        <v>590</v>
      </c>
      <c r="F119" s="336" t="s">
        <v>698</v>
      </c>
    </row>
    <row r="120" spans="1:6" ht="24" customHeight="1">
      <c r="A120" s="336" t="s">
        <v>587</v>
      </c>
      <c r="B120" s="336" t="s">
        <v>588</v>
      </c>
      <c r="C120" s="336" t="s">
        <v>697</v>
      </c>
      <c r="D120" s="336" t="s">
        <v>358</v>
      </c>
      <c r="E120" s="336" t="s">
        <v>590</v>
      </c>
      <c r="F120" s="336" t="s">
        <v>698</v>
      </c>
    </row>
    <row r="121" spans="1:6" ht="24" customHeight="1">
      <c r="A121" s="336" t="s">
        <v>587</v>
      </c>
      <c r="B121" s="336" t="s">
        <v>588</v>
      </c>
      <c r="C121" s="336" t="s">
        <v>697</v>
      </c>
      <c r="D121" s="336" t="s">
        <v>361</v>
      </c>
      <c r="E121" s="336" t="s">
        <v>590</v>
      </c>
      <c r="F121" s="336" t="s">
        <v>698</v>
      </c>
    </row>
    <row r="122" spans="1:6" ht="24" customHeight="1">
      <c r="A122" s="336" t="s">
        <v>587</v>
      </c>
      <c r="B122" s="336" t="s">
        <v>588</v>
      </c>
      <c r="C122" s="336" t="s">
        <v>699</v>
      </c>
      <c r="D122" s="336" t="s">
        <v>385</v>
      </c>
      <c r="E122" s="336" t="s">
        <v>590</v>
      </c>
      <c r="F122" s="336" t="s">
        <v>700</v>
      </c>
    </row>
    <row r="123" spans="1:6" ht="24" customHeight="1">
      <c r="A123" s="336" t="s">
        <v>587</v>
      </c>
      <c r="B123" s="336" t="s">
        <v>588</v>
      </c>
      <c r="C123" s="336" t="s">
        <v>699</v>
      </c>
      <c r="D123" s="336" t="s">
        <v>390</v>
      </c>
      <c r="E123" s="336" t="s">
        <v>590</v>
      </c>
      <c r="F123" s="336" t="s">
        <v>700</v>
      </c>
    </row>
    <row r="124" spans="1:6" ht="24" customHeight="1">
      <c r="A124" s="336" t="s">
        <v>587</v>
      </c>
      <c r="B124" s="336" t="s">
        <v>588</v>
      </c>
      <c r="C124" s="336" t="s">
        <v>699</v>
      </c>
      <c r="D124" s="336" t="s">
        <v>395</v>
      </c>
      <c r="E124" s="336" t="s">
        <v>590</v>
      </c>
      <c r="F124" s="336" t="s">
        <v>700</v>
      </c>
    </row>
    <row r="125" spans="1:6" ht="24" customHeight="1">
      <c r="A125" s="336" t="s">
        <v>587</v>
      </c>
      <c r="B125" s="336" t="s">
        <v>701</v>
      </c>
      <c r="C125" s="336" t="s">
        <v>702</v>
      </c>
      <c r="D125" s="336" t="s">
        <v>402</v>
      </c>
      <c r="E125" s="336" t="s">
        <v>703</v>
      </c>
      <c r="F125" s="336" t="s">
        <v>704</v>
      </c>
    </row>
    <row r="126" spans="1:6" ht="24" customHeight="1">
      <c r="A126" s="336" t="s">
        <v>587</v>
      </c>
      <c r="B126" s="336" t="s">
        <v>701</v>
      </c>
      <c r="C126" s="336" t="s">
        <v>702</v>
      </c>
      <c r="D126" s="336" t="s">
        <v>405</v>
      </c>
      <c r="E126" s="336" t="s">
        <v>703</v>
      </c>
      <c r="F126" s="336" t="s">
        <v>704</v>
      </c>
    </row>
    <row r="127" spans="1:6" ht="24" customHeight="1">
      <c r="A127" s="336" t="s">
        <v>587</v>
      </c>
      <c r="B127" s="336" t="s">
        <v>701</v>
      </c>
      <c r="C127" s="336" t="s">
        <v>702</v>
      </c>
      <c r="D127" s="336" t="s">
        <v>408</v>
      </c>
      <c r="E127" s="336" t="s">
        <v>703</v>
      </c>
      <c r="F127" s="336" t="s">
        <v>704</v>
      </c>
    </row>
    <row r="128" spans="1:6" ht="24" customHeight="1">
      <c r="A128" s="336" t="s">
        <v>587</v>
      </c>
      <c r="B128" s="336" t="s">
        <v>701</v>
      </c>
      <c r="C128" s="336" t="s">
        <v>702</v>
      </c>
      <c r="D128" s="336" t="s">
        <v>411</v>
      </c>
      <c r="E128" s="336" t="s">
        <v>703</v>
      </c>
      <c r="F128" s="336" t="s">
        <v>704</v>
      </c>
    </row>
    <row r="129" spans="1:6" ht="24" customHeight="1">
      <c r="A129" s="336" t="s">
        <v>587</v>
      </c>
      <c r="B129" s="336" t="s">
        <v>701</v>
      </c>
      <c r="C129" s="336" t="s">
        <v>702</v>
      </c>
      <c r="D129" s="336" t="s">
        <v>414</v>
      </c>
      <c r="E129" s="336" t="s">
        <v>703</v>
      </c>
      <c r="F129" s="336" t="s">
        <v>704</v>
      </c>
    </row>
    <row r="130" spans="1:6" ht="24" customHeight="1">
      <c r="A130" s="336" t="s">
        <v>587</v>
      </c>
      <c r="B130" s="336" t="s">
        <v>701</v>
      </c>
      <c r="C130" s="336" t="s">
        <v>702</v>
      </c>
      <c r="D130" s="336" t="s">
        <v>417</v>
      </c>
      <c r="E130" s="336" t="s">
        <v>703</v>
      </c>
      <c r="F130" s="336" t="s">
        <v>704</v>
      </c>
    </row>
    <row r="131" spans="1:6" ht="24" customHeight="1">
      <c r="A131" s="336" t="s">
        <v>587</v>
      </c>
      <c r="B131" s="336" t="s">
        <v>701</v>
      </c>
      <c r="C131" s="336" t="s">
        <v>702</v>
      </c>
      <c r="D131" s="336" t="s">
        <v>420</v>
      </c>
      <c r="E131" s="336" t="s">
        <v>703</v>
      </c>
      <c r="F131" s="336" t="s">
        <v>704</v>
      </c>
    </row>
    <row r="132" spans="1:6" ht="24" customHeight="1">
      <c r="A132" s="336" t="s">
        <v>587</v>
      </c>
      <c r="B132" s="336" t="s">
        <v>705</v>
      </c>
      <c r="C132" s="336" t="s">
        <v>706</v>
      </c>
      <c r="D132" s="336" t="s">
        <v>707</v>
      </c>
      <c r="E132" s="336" t="s">
        <v>708</v>
      </c>
      <c r="F132" s="336" t="s">
        <v>709</v>
      </c>
    </row>
    <row r="133" spans="1:6" ht="24" customHeight="1">
      <c r="A133" s="336" t="s">
        <v>587</v>
      </c>
      <c r="B133" s="336" t="s">
        <v>705</v>
      </c>
      <c r="C133" s="336" t="s">
        <v>706</v>
      </c>
      <c r="D133" s="336" t="s">
        <v>710</v>
      </c>
      <c r="E133" s="336" t="s">
        <v>708</v>
      </c>
      <c r="F133" s="336" t="s">
        <v>709</v>
      </c>
    </row>
    <row r="134" spans="1:6" ht="24" customHeight="1">
      <c r="A134" s="336" t="s">
        <v>587</v>
      </c>
      <c r="B134" s="336" t="s">
        <v>705</v>
      </c>
      <c r="C134" s="336" t="s">
        <v>706</v>
      </c>
      <c r="D134" s="336" t="s">
        <v>711</v>
      </c>
      <c r="E134" s="336" t="s">
        <v>708</v>
      </c>
      <c r="F134" s="336" t="s">
        <v>709</v>
      </c>
    </row>
    <row r="135" spans="1:6" ht="24" customHeight="1">
      <c r="A135" s="336" t="s">
        <v>587</v>
      </c>
      <c r="B135" s="336" t="s">
        <v>705</v>
      </c>
      <c r="C135" s="336" t="s">
        <v>706</v>
      </c>
      <c r="D135" s="336" t="s">
        <v>712</v>
      </c>
      <c r="E135" s="336" t="s">
        <v>708</v>
      </c>
      <c r="F135" s="336" t="s">
        <v>709</v>
      </c>
    </row>
    <row r="136" spans="1:6" ht="24" customHeight="1">
      <c r="A136" s="336" t="s">
        <v>587</v>
      </c>
      <c r="B136" s="336" t="s">
        <v>705</v>
      </c>
      <c r="C136" s="336" t="s">
        <v>706</v>
      </c>
      <c r="D136" s="336" t="s">
        <v>713</v>
      </c>
      <c r="E136" s="336" t="s">
        <v>708</v>
      </c>
      <c r="F136" s="336" t="s">
        <v>709</v>
      </c>
    </row>
    <row r="137" spans="1:6" ht="24" customHeight="1">
      <c r="A137" s="336" t="s">
        <v>587</v>
      </c>
      <c r="B137" s="336" t="s">
        <v>705</v>
      </c>
      <c r="C137" s="336" t="s">
        <v>706</v>
      </c>
      <c r="D137" s="336" t="s">
        <v>714</v>
      </c>
      <c r="E137" s="336" t="s">
        <v>708</v>
      </c>
      <c r="F137" s="336" t="s">
        <v>709</v>
      </c>
    </row>
    <row r="138" spans="1:6" ht="24" customHeight="1">
      <c r="A138" s="336" t="s">
        <v>587</v>
      </c>
      <c r="B138" s="336" t="s">
        <v>705</v>
      </c>
      <c r="C138" s="336" t="s">
        <v>706</v>
      </c>
      <c r="D138" s="336" t="s">
        <v>715</v>
      </c>
      <c r="E138" s="336" t="s">
        <v>708</v>
      </c>
      <c r="F138" s="336" t="s">
        <v>709</v>
      </c>
    </row>
    <row r="139" spans="1:6" ht="24" customHeight="1">
      <c r="A139" s="336" t="s">
        <v>587</v>
      </c>
      <c r="B139" s="336" t="s">
        <v>705</v>
      </c>
      <c r="C139" s="336" t="s">
        <v>706</v>
      </c>
      <c r="D139" s="336" t="s">
        <v>716</v>
      </c>
      <c r="E139" s="336" t="s">
        <v>708</v>
      </c>
      <c r="F139" s="336" t="s">
        <v>709</v>
      </c>
    </row>
    <row r="140" spans="1:6" ht="24" customHeight="1">
      <c r="A140" s="336" t="s">
        <v>587</v>
      </c>
      <c r="B140" s="336" t="s">
        <v>705</v>
      </c>
      <c r="C140" s="336" t="s">
        <v>706</v>
      </c>
      <c r="D140" s="336" t="s">
        <v>717</v>
      </c>
      <c r="E140" s="336" t="s">
        <v>708</v>
      </c>
      <c r="F140" s="336" t="s">
        <v>709</v>
      </c>
    </row>
    <row r="141" spans="1:6" ht="24" customHeight="1">
      <c r="A141" s="336" t="s">
        <v>587</v>
      </c>
      <c r="B141" s="336" t="s">
        <v>705</v>
      </c>
      <c r="C141" s="336" t="s">
        <v>706</v>
      </c>
      <c r="D141" s="336" t="s">
        <v>718</v>
      </c>
      <c r="E141" s="336" t="s">
        <v>708</v>
      </c>
      <c r="F141" s="336" t="s">
        <v>709</v>
      </c>
    </row>
    <row r="142" spans="1:6" ht="24" customHeight="1">
      <c r="A142" s="336" t="s">
        <v>587</v>
      </c>
      <c r="B142" s="336" t="s">
        <v>705</v>
      </c>
      <c r="C142" s="336" t="s">
        <v>706</v>
      </c>
      <c r="D142" s="336" t="s">
        <v>719</v>
      </c>
      <c r="E142" s="336" t="s">
        <v>708</v>
      </c>
      <c r="F142" s="336" t="s">
        <v>709</v>
      </c>
    </row>
    <row r="143" spans="1:6" ht="24" customHeight="1">
      <c r="A143" s="336" t="s">
        <v>587</v>
      </c>
      <c r="B143" s="336" t="s">
        <v>705</v>
      </c>
      <c r="C143" s="336" t="s">
        <v>706</v>
      </c>
      <c r="D143" s="336" t="s">
        <v>720</v>
      </c>
      <c r="E143" s="336" t="s">
        <v>708</v>
      </c>
      <c r="F143" s="336" t="s">
        <v>709</v>
      </c>
    </row>
    <row r="144" spans="1:6" ht="24" customHeight="1">
      <c r="A144" s="336" t="s">
        <v>587</v>
      </c>
      <c r="B144" s="336" t="s">
        <v>705</v>
      </c>
      <c r="C144" s="336" t="s">
        <v>706</v>
      </c>
      <c r="D144" s="336" t="s">
        <v>721</v>
      </c>
      <c r="E144" s="336" t="s">
        <v>708</v>
      </c>
      <c r="F144" s="336" t="s">
        <v>709</v>
      </c>
    </row>
    <row r="145" spans="1:6" ht="24" customHeight="1">
      <c r="A145" s="336" t="s">
        <v>587</v>
      </c>
      <c r="B145" s="336" t="s">
        <v>705</v>
      </c>
      <c r="C145" s="336" t="s">
        <v>706</v>
      </c>
      <c r="D145" s="336" t="s">
        <v>722</v>
      </c>
      <c r="E145" s="336" t="s">
        <v>708</v>
      </c>
      <c r="F145" s="336" t="s">
        <v>709</v>
      </c>
    </row>
    <row r="146" spans="1:6" ht="24" customHeight="1">
      <c r="A146" s="336" t="s">
        <v>587</v>
      </c>
      <c r="B146" s="336" t="s">
        <v>705</v>
      </c>
      <c r="C146" s="336" t="s">
        <v>706</v>
      </c>
      <c r="D146" s="336" t="s">
        <v>723</v>
      </c>
      <c r="E146" s="336" t="s">
        <v>708</v>
      </c>
      <c r="F146" s="336" t="s">
        <v>709</v>
      </c>
    </row>
    <row r="147" spans="1:6" ht="24" customHeight="1">
      <c r="A147" s="336" t="s">
        <v>587</v>
      </c>
      <c r="B147" s="336" t="s">
        <v>705</v>
      </c>
      <c r="C147" s="336" t="s">
        <v>706</v>
      </c>
      <c r="D147" s="336" t="s">
        <v>724</v>
      </c>
      <c r="E147" s="336" t="s">
        <v>708</v>
      </c>
      <c r="F147" s="336" t="s">
        <v>709</v>
      </c>
    </row>
    <row r="148" spans="1:6" ht="24" customHeight="1">
      <c r="A148" s="336" t="s">
        <v>587</v>
      </c>
      <c r="B148" s="336" t="s">
        <v>705</v>
      </c>
      <c r="C148" s="336" t="s">
        <v>706</v>
      </c>
      <c r="D148" s="336" t="s">
        <v>725</v>
      </c>
      <c r="E148" s="336" t="s">
        <v>708</v>
      </c>
      <c r="F148" s="336" t="s">
        <v>709</v>
      </c>
    </row>
    <row r="149" spans="1:6" ht="24" customHeight="1">
      <c r="A149" s="336" t="s">
        <v>587</v>
      </c>
      <c r="B149" s="336" t="s">
        <v>705</v>
      </c>
      <c r="C149" s="336" t="s">
        <v>706</v>
      </c>
      <c r="D149" s="336" t="s">
        <v>726</v>
      </c>
      <c r="E149" s="336" t="s">
        <v>708</v>
      </c>
      <c r="F149" s="336" t="s">
        <v>709</v>
      </c>
    </row>
    <row r="150" spans="1:6" ht="24" customHeight="1">
      <c r="A150" s="336" t="s">
        <v>587</v>
      </c>
      <c r="B150" s="336" t="s">
        <v>705</v>
      </c>
      <c r="C150" s="336" t="s">
        <v>706</v>
      </c>
      <c r="D150" s="336" t="s">
        <v>727</v>
      </c>
      <c r="E150" s="336" t="s">
        <v>708</v>
      </c>
      <c r="F150" s="336" t="s">
        <v>709</v>
      </c>
    </row>
    <row r="151" spans="1:6" ht="24" customHeight="1">
      <c r="A151" s="336" t="s">
        <v>587</v>
      </c>
      <c r="B151" s="336" t="s">
        <v>705</v>
      </c>
      <c r="C151" s="336" t="s">
        <v>706</v>
      </c>
      <c r="D151" s="336" t="s">
        <v>728</v>
      </c>
      <c r="E151" s="336" t="s">
        <v>708</v>
      </c>
      <c r="F151" s="336" t="s">
        <v>709</v>
      </c>
    </row>
    <row r="152" spans="1:6" ht="24" customHeight="1">
      <c r="A152" s="336" t="s">
        <v>587</v>
      </c>
      <c r="B152" s="336" t="s">
        <v>705</v>
      </c>
      <c r="C152" s="336" t="s">
        <v>706</v>
      </c>
      <c r="D152" s="336" t="s">
        <v>729</v>
      </c>
      <c r="E152" s="336" t="s">
        <v>708</v>
      </c>
      <c r="F152" s="336" t="s">
        <v>709</v>
      </c>
    </row>
    <row r="153" spans="1:6" ht="24" customHeight="1">
      <c r="A153" s="336" t="s">
        <v>587</v>
      </c>
      <c r="B153" s="336" t="s">
        <v>705</v>
      </c>
      <c r="C153" s="336" t="s">
        <v>730</v>
      </c>
      <c r="D153" s="336" t="s">
        <v>731</v>
      </c>
      <c r="E153" s="336" t="s">
        <v>708</v>
      </c>
      <c r="F153" s="336" t="s">
        <v>732</v>
      </c>
    </row>
    <row r="154" spans="1:6" ht="24" customHeight="1">
      <c r="A154" s="336" t="s">
        <v>587</v>
      </c>
      <c r="B154" s="336" t="s">
        <v>705</v>
      </c>
      <c r="C154" s="336" t="s">
        <v>733</v>
      </c>
      <c r="D154" s="336" t="s">
        <v>734</v>
      </c>
      <c r="E154" s="336" t="s">
        <v>708</v>
      </c>
      <c r="F154" s="336" t="s">
        <v>735</v>
      </c>
    </row>
    <row r="155" spans="1:6" ht="24" customHeight="1">
      <c r="A155" s="336" t="s">
        <v>587</v>
      </c>
      <c r="B155" s="336" t="s">
        <v>705</v>
      </c>
      <c r="C155" s="336" t="s">
        <v>733</v>
      </c>
      <c r="D155" s="336" t="s">
        <v>736</v>
      </c>
      <c r="E155" s="336" t="s">
        <v>708</v>
      </c>
      <c r="F155" s="336" t="s">
        <v>735</v>
      </c>
    </row>
    <row r="156" spans="1:6" ht="24" customHeight="1">
      <c r="A156" s="336" t="s">
        <v>587</v>
      </c>
      <c r="B156" s="336" t="s">
        <v>705</v>
      </c>
      <c r="C156" s="336" t="s">
        <v>733</v>
      </c>
      <c r="D156" s="336" t="s">
        <v>737</v>
      </c>
      <c r="E156" s="336" t="s">
        <v>708</v>
      </c>
      <c r="F156" s="336" t="s">
        <v>735</v>
      </c>
    </row>
    <row r="157" spans="1:6" ht="24" customHeight="1">
      <c r="A157" s="336" t="s">
        <v>587</v>
      </c>
      <c r="B157" s="336" t="s">
        <v>705</v>
      </c>
      <c r="C157" s="336" t="s">
        <v>733</v>
      </c>
      <c r="D157" s="336" t="s">
        <v>738</v>
      </c>
      <c r="E157" s="336" t="s">
        <v>708</v>
      </c>
      <c r="F157" s="336" t="s">
        <v>735</v>
      </c>
    </row>
    <row r="158" spans="1:6" ht="24" customHeight="1">
      <c r="A158" s="336" t="s">
        <v>587</v>
      </c>
      <c r="B158" s="336" t="s">
        <v>705</v>
      </c>
      <c r="C158" s="336" t="s">
        <v>733</v>
      </c>
      <c r="D158" s="336" t="s">
        <v>739</v>
      </c>
      <c r="E158" s="336" t="s">
        <v>708</v>
      </c>
      <c r="F158" s="336" t="s">
        <v>735</v>
      </c>
    </row>
    <row r="159" spans="1:6" ht="24" customHeight="1">
      <c r="A159" s="336" t="s">
        <v>587</v>
      </c>
      <c r="B159" s="336" t="s">
        <v>705</v>
      </c>
      <c r="C159" s="336" t="s">
        <v>733</v>
      </c>
      <c r="D159" s="336" t="s">
        <v>740</v>
      </c>
      <c r="E159" s="336" t="s">
        <v>708</v>
      </c>
      <c r="F159" s="336" t="s">
        <v>735</v>
      </c>
    </row>
    <row r="160" spans="1:6" ht="24" customHeight="1">
      <c r="A160" s="336" t="s">
        <v>587</v>
      </c>
      <c r="B160" s="336" t="s">
        <v>705</v>
      </c>
      <c r="C160" s="336" t="s">
        <v>733</v>
      </c>
      <c r="D160" s="336" t="s">
        <v>741</v>
      </c>
      <c r="E160" s="336" t="s">
        <v>708</v>
      </c>
      <c r="F160" s="336" t="s">
        <v>735</v>
      </c>
    </row>
    <row r="161" spans="1:6" ht="24" customHeight="1">
      <c r="A161" s="336" t="s">
        <v>587</v>
      </c>
      <c r="B161" s="336" t="s">
        <v>705</v>
      </c>
      <c r="C161" s="336" t="s">
        <v>733</v>
      </c>
      <c r="D161" s="336" t="s">
        <v>742</v>
      </c>
      <c r="E161" s="336" t="s">
        <v>708</v>
      </c>
      <c r="F161" s="336" t="s">
        <v>735</v>
      </c>
    </row>
    <row r="162" spans="1:6" ht="24" customHeight="1">
      <c r="A162" s="336" t="s">
        <v>587</v>
      </c>
      <c r="B162" s="336" t="s">
        <v>705</v>
      </c>
      <c r="C162" s="336" t="s">
        <v>733</v>
      </c>
      <c r="D162" s="336" t="s">
        <v>743</v>
      </c>
      <c r="E162" s="336" t="s">
        <v>708</v>
      </c>
      <c r="F162" s="336" t="s">
        <v>735</v>
      </c>
    </row>
    <row r="163" spans="1:6" ht="24" customHeight="1">
      <c r="A163" s="336" t="s">
        <v>587</v>
      </c>
      <c r="B163" s="336" t="s">
        <v>705</v>
      </c>
      <c r="C163" s="336" t="s">
        <v>744</v>
      </c>
      <c r="D163" s="336" t="s">
        <v>745</v>
      </c>
      <c r="E163" s="336" t="s">
        <v>708</v>
      </c>
      <c r="F163" s="336" t="s">
        <v>746</v>
      </c>
    </row>
    <row r="164" spans="1:6" ht="24" customHeight="1">
      <c r="A164" s="336" t="s">
        <v>587</v>
      </c>
      <c r="B164" s="336" t="s">
        <v>705</v>
      </c>
      <c r="C164" s="336" t="s">
        <v>744</v>
      </c>
      <c r="D164" s="336" t="s">
        <v>747</v>
      </c>
      <c r="E164" s="336" t="s">
        <v>708</v>
      </c>
      <c r="F164" s="336" t="s">
        <v>746</v>
      </c>
    </row>
    <row r="165" spans="1:6" ht="24" customHeight="1">
      <c r="A165" s="336" t="s">
        <v>587</v>
      </c>
      <c r="B165" s="336" t="s">
        <v>705</v>
      </c>
      <c r="C165" s="336" t="s">
        <v>744</v>
      </c>
      <c r="D165" s="336" t="s">
        <v>748</v>
      </c>
      <c r="E165" s="336" t="s">
        <v>708</v>
      </c>
      <c r="F165" s="336" t="s">
        <v>746</v>
      </c>
    </row>
    <row r="166" spans="1:6" ht="24" customHeight="1">
      <c r="A166" s="336" t="s">
        <v>587</v>
      </c>
      <c r="B166" s="336" t="s">
        <v>705</v>
      </c>
      <c r="C166" s="336" t="s">
        <v>744</v>
      </c>
      <c r="D166" s="336" t="s">
        <v>749</v>
      </c>
      <c r="E166" s="336" t="s">
        <v>708</v>
      </c>
      <c r="F166" s="336" t="s">
        <v>746</v>
      </c>
    </row>
    <row r="167" spans="1:6" ht="24" customHeight="1">
      <c r="A167" s="336" t="s">
        <v>587</v>
      </c>
      <c r="B167" s="336" t="s">
        <v>705</v>
      </c>
      <c r="C167" s="336" t="s">
        <v>744</v>
      </c>
      <c r="D167" s="336" t="s">
        <v>750</v>
      </c>
      <c r="E167" s="336" t="s">
        <v>708</v>
      </c>
      <c r="F167" s="336" t="s">
        <v>746</v>
      </c>
    </row>
    <row r="168" spans="1:6" ht="24" customHeight="1">
      <c r="A168" s="336" t="s">
        <v>587</v>
      </c>
      <c r="B168" s="336" t="s">
        <v>705</v>
      </c>
      <c r="C168" s="336" t="s">
        <v>744</v>
      </c>
      <c r="D168" s="336" t="s">
        <v>751</v>
      </c>
      <c r="E168" s="336" t="s">
        <v>708</v>
      </c>
      <c r="F168" s="336" t="s">
        <v>746</v>
      </c>
    </row>
    <row r="169" spans="1:6" ht="24" customHeight="1">
      <c r="A169" s="336" t="s">
        <v>587</v>
      </c>
      <c r="B169" s="336" t="s">
        <v>705</v>
      </c>
      <c r="C169" s="336" t="s">
        <v>744</v>
      </c>
      <c r="D169" s="336" t="s">
        <v>752</v>
      </c>
      <c r="E169" s="336" t="s">
        <v>708</v>
      </c>
      <c r="F169" s="336" t="s">
        <v>746</v>
      </c>
    </row>
    <row r="170" spans="1:6" ht="24" customHeight="1">
      <c r="A170" s="336" t="s">
        <v>587</v>
      </c>
      <c r="B170" s="336" t="s">
        <v>705</v>
      </c>
      <c r="C170" s="336" t="s">
        <v>753</v>
      </c>
      <c r="D170" s="336" t="s">
        <v>754</v>
      </c>
      <c r="E170" s="336" t="s">
        <v>708</v>
      </c>
      <c r="F170" s="336" t="s">
        <v>755</v>
      </c>
    </row>
    <row r="171" spans="1:6" ht="24" customHeight="1">
      <c r="A171" s="336" t="s">
        <v>587</v>
      </c>
      <c r="B171" s="336" t="s">
        <v>705</v>
      </c>
      <c r="C171" s="336" t="s">
        <v>753</v>
      </c>
      <c r="D171" s="336" t="s">
        <v>756</v>
      </c>
      <c r="E171" s="336" t="s">
        <v>708</v>
      </c>
      <c r="F171" s="336" t="s">
        <v>755</v>
      </c>
    </row>
    <row r="172" spans="1:6" ht="24" customHeight="1">
      <c r="A172" s="336" t="s">
        <v>587</v>
      </c>
      <c r="B172" s="336" t="s">
        <v>705</v>
      </c>
      <c r="C172" s="336" t="s">
        <v>753</v>
      </c>
      <c r="D172" s="336" t="s">
        <v>757</v>
      </c>
      <c r="E172" s="336" t="s">
        <v>708</v>
      </c>
      <c r="F172" s="336" t="s">
        <v>755</v>
      </c>
    </row>
    <row r="173" spans="1:6" ht="24" customHeight="1">
      <c r="A173" s="336" t="s">
        <v>587</v>
      </c>
      <c r="B173" s="336" t="s">
        <v>705</v>
      </c>
      <c r="C173" s="336" t="s">
        <v>753</v>
      </c>
      <c r="D173" s="336" t="s">
        <v>758</v>
      </c>
      <c r="E173" s="336" t="s">
        <v>708</v>
      </c>
      <c r="F173" s="336" t="s">
        <v>755</v>
      </c>
    </row>
    <row r="174" spans="1:6" ht="24" customHeight="1">
      <c r="A174" s="336" t="s">
        <v>587</v>
      </c>
      <c r="B174" s="336" t="s">
        <v>705</v>
      </c>
      <c r="C174" s="336" t="s">
        <v>753</v>
      </c>
      <c r="D174" s="336" t="s">
        <v>759</v>
      </c>
      <c r="E174" s="336" t="s">
        <v>708</v>
      </c>
      <c r="F174" s="336" t="s">
        <v>755</v>
      </c>
    </row>
    <row r="175" spans="1:6" ht="24" customHeight="1">
      <c r="A175" s="336" t="s">
        <v>587</v>
      </c>
      <c r="B175" s="336" t="s">
        <v>705</v>
      </c>
      <c r="C175" s="336" t="s">
        <v>753</v>
      </c>
      <c r="D175" s="336" t="s">
        <v>760</v>
      </c>
      <c r="E175" s="336" t="s">
        <v>708</v>
      </c>
      <c r="F175" s="336" t="s">
        <v>755</v>
      </c>
    </row>
    <row r="176" spans="1:6" ht="24" customHeight="1">
      <c r="A176" s="336" t="s">
        <v>587</v>
      </c>
      <c r="B176" s="336" t="s">
        <v>705</v>
      </c>
      <c r="C176" s="336" t="s">
        <v>753</v>
      </c>
      <c r="D176" s="336" t="s">
        <v>761</v>
      </c>
      <c r="E176" s="336" t="s">
        <v>708</v>
      </c>
      <c r="F176" s="336" t="s">
        <v>755</v>
      </c>
    </row>
    <row r="177" spans="1:6" ht="24" customHeight="1">
      <c r="A177" s="336" t="s">
        <v>587</v>
      </c>
      <c r="B177" s="336" t="s">
        <v>705</v>
      </c>
      <c r="C177" s="336" t="s">
        <v>753</v>
      </c>
      <c r="D177" s="336" t="s">
        <v>762</v>
      </c>
      <c r="E177" s="336" t="s">
        <v>708</v>
      </c>
      <c r="F177" s="336" t="s">
        <v>755</v>
      </c>
    </row>
    <row r="178" spans="1:6" ht="24" customHeight="1">
      <c r="A178" s="336" t="s">
        <v>587</v>
      </c>
      <c r="B178" s="336" t="s">
        <v>705</v>
      </c>
      <c r="C178" s="336" t="s">
        <v>753</v>
      </c>
      <c r="D178" s="336" t="s">
        <v>763</v>
      </c>
      <c r="E178" s="336" t="s">
        <v>708</v>
      </c>
      <c r="F178" s="336" t="s">
        <v>755</v>
      </c>
    </row>
    <row r="179" spans="1:6" ht="24" customHeight="1">
      <c r="A179" s="336" t="s">
        <v>587</v>
      </c>
      <c r="B179" s="336" t="s">
        <v>705</v>
      </c>
      <c r="C179" s="336" t="s">
        <v>753</v>
      </c>
      <c r="D179" s="336" t="s">
        <v>764</v>
      </c>
      <c r="E179" s="336" t="s">
        <v>708</v>
      </c>
      <c r="F179" s="336" t="s">
        <v>755</v>
      </c>
    </row>
    <row r="180" spans="1:6" ht="24" customHeight="1">
      <c r="A180" s="336" t="s">
        <v>587</v>
      </c>
      <c r="B180" s="336" t="s">
        <v>705</v>
      </c>
      <c r="C180" s="336" t="s">
        <v>753</v>
      </c>
      <c r="D180" s="336" t="s">
        <v>765</v>
      </c>
      <c r="E180" s="336" t="s">
        <v>708</v>
      </c>
      <c r="F180" s="336" t="s">
        <v>755</v>
      </c>
    </row>
    <row r="181" spans="1:6" ht="24" customHeight="1">
      <c r="A181" s="336" t="s">
        <v>587</v>
      </c>
      <c r="B181" s="336" t="s">
        <v>705</v>
      </c>
      <c r="C181" s="336" t="s">
        <v>753</v>
      </c>
      <c r="D181" s="336" t="s">
        <v>766</v>
      </c>
      <c r="E181" s="336" t="s">
        <v>708</v>
      </c>
      <c r="F181" s="336" t="s">
        <v>755</v>
      </c>
    </row>
    <row r="182" spans="1:6" ht="24" customHeight="1">
      <c r="A182" s="336" t="s">
        <v>587</v>
      </c>
      <c r="B182" s="336" t="s">
        <v>705</v>
      </c>
      <c r="C182" s="336" t="s">
        <v>753</v>
      </c>
      <c r="D182" s="336" t="s">
        <v>767</v>
      </c>
      <c r="E182" s="336" t="s">
        <v>708</v>
      </c>
      <c r="F182" s="336" t="s">
        <v>755</v>
      </c>
    </row>
    <row r="183" spans="1:6" ht="24" customHeight="1">
      <c r="A183" s="336" t="s">
        <v>587</v>
      </c>
      <c r="B183" s="336" t="s">
        <v>705</v>
      </c>
      <c r="C183" s="336" t="s">
        <v>753</v>
      </c>
      <c r="D183" s="336" t="s">
        <v>768</v>
      </c>
      <c r="E183" s="336" t="s">
        <v>708</v>
      </c>
      <c r="F183" s="336" t="s">
        <v>755</v>
      </c>
    </row>
    <row r="184" spans="1:6" ht="24" customHeight="1">
      <c r="A184" s="336" t="s">
        <v>587</v>
      </c>
      <c r="B184" s="336" t="s">
        <v>705</v>
      </c>
      <c r="C184" s="336" t="s">
        <v>753</v>
      </c>
      <c r="D184" s="336" t="s">
        <v>769</v>
      </c>
      <c r="E184" s="336" t="s">
        <v>708</v>
      </c>
      <c r="F184" s="336" t="s">
        <v>755</v>
      </c>
    </row>
    <row r="185" spans="1:6" ht="24" customHeight="1">
      <c r="A185" s="336" t="s">
        <v>587</v>
      </c>
      <c r="B185" s="336" t="s">
        <v>705</v>
      </c>
      <c r="C185" s="336" t="s">
        <v>753</v>
      </c>
      <c r="D185" s="336" t="s">
        <v>770</v>
      </c>
      <c r="E185" s="336" t="s">
        <v>708</v>
      </c>
      <c r="F185" s="336" t="s">
        <v>755</v>
      </c>
    </row>
    <row r="186" spans="1:6" ht="24" customHeight="1">
      <c r="A186" s="336" t="s">
        <v>587</v>
      </c>
      <c r="B186" s="336" t="s">
        <v>705</v>
      </c>
      <c r="C186" s="336" t="s">
        <v>753</v>
      </c>
      <c r="D186" s="336" t="s">
        <v>771</v>
      </c>
      <c r="E186" s="336" t="s">
        <v>708</v>
      </c>
      <c r="F186" s="336" t="s">
        <v>755</v>
      </c>
    </row>
    <row r="187" spans="1:6" ht="24" customHeight="1">
      <c r="A187" s="336" t="s">
        <v>587</v>
      </c>
      <c r="B187" s="336" t="s">
        <v>705</v>
      </c>
      <c r="C187" s="336" t="s">
        <v>753</v>
      </c>
      <c r="D187" s="336" t="s">
        <v>772</v>
      </c>
      <c r="E187" s="336" t="s">
        <v>708</v>
      </c>
      <c r="F187" s="336" t="s">
        <v>755</v>
      </c>
    </row>
    <row r="188" spans="1:6" ht="24" customHeight="1">
      <c r="A188" s="336" t="s">
        <v>587</v>
      </c>
      <c r="B188" s="336" t="s">
        <v>705</v>
      </c>
      <c r="C188" s="336" t="s">
        <v>753</v>
      </c>
      <c r="D188" s="336" t="s">
        <v>773</v>
      </c>
      <c r="E188" s="336" t="s">
        <v>708</v>
      </c>
      <c r="F188" s="336" t="s">
        <v>755</v>
      </c>
    </row>
    <row r="189" spans="1:6" ht="24" customHeight="1">
      <c r="A189" s="336" t="s">
        <v>587</v>
      </c>
      <c r="B189" s="336" t="s">
        <v>705</v>
      </c>
      <c r="C189" s="336" t="s">
        <v>774</v>
      </c>
      <c r="D189" s="336" t="s">
        <v>775</v>
      </c>
      <c r="E189" s="336" t="s">
        <v>708</v>
      </c>
      <c r="F189" s="336" t="s">
        <v>776</v>
      </c>
    </row>
    <row r="190" spans="1:6" ht="24" customHeight="1">
      <c r="A190" s="336" t="s">
        <v>587</v>
      </c>
      <c r="B190" s="336" t="s">
        <v>705</v>
      </c>
      <c r="C190" s="336" t="s">
        <v>774</v>
      </c>
      <c r="D190" s="336" t="s">
        <v>777</v>
      </c>
      <c r="E190" s="336" t="s">
        <v>708</v>
      </c>
      <c r="F190" s="336" t="s">
        <v>776</v>
      </c>
    </row>
    <row r="191" spans="1:6" ht="24" customHeight="1">
      <c r="A191" s="336" t="s">
        <v>587</v>
      </c>
      <c r="B191" s="336" t="s">
        <v>705</v>
      </c>
      <c r="C191" s="336" t="s">
        <v>774</v>
      </c>
      <c r="D191" s="336" t="s">
        <v>778</v>
      </c>
      <c r="E191" s="336" t="s">
        <v>708</v>
      </c>
      <c r="F191" s="336" t="s">
        <v>776</v>
      </c>
    </row>
    <row r="192" spans="1:6" ht="24" customHeight="1">
      <c r="A192" s="336" t="s">
        <v>587</v>
      </c>
      <c r="B192" s="336" t="s">
        <v>705</v>
      </c>
      <c r="C192" s="336" t="s">
        <v>774</v>
      </c>
      <c r="D192" s="336" t="s">
        <v>779</v>
      </c>
      <c r="E192" s="336" t="s">
        <v>708</v>
      </c>
      <c r="F192" s="336" t="s">
        <v>776</v>
      </c>
    </row>
    <row r="193" spans="1:6" ht="24" customHeight="1">
      <c r="A193" s="336" t="s">
        <v>587</v>
      </c>
      <c r="B193" s="336" t="s">
        <v>705</v>
      </c>
      <c r="C193" s="336" t="s">
        <v>774</v>
      </c>
      <c r="D193" s="336" t="s">
        <v>780</v>
      </c>
      <c r="E193" s="336" t="s">
        <v>708</v>
      </c>
      <c r="F193" s="336" t="s">
        <v>776</v>
      </c>
    </row>
    <row r="194" spans="1:6" ht="24" customHeight="1">
      <c r="A194" s="336" t="s">
        <v>587</v>
      </c>
      <c r="B194" s="336" t="s">
        <v>705</v>
      </c>
      <c r="C194" s="336" t="s">
        <v>774</v>
      </c>
      <c r="D194" s="336" t="s">
        <v>781</v>
      </c>
      <c r="E194" s="336" t="s">
        <v>708</v>
      </c>
      <c r="F194" s="336" t="s">
        <v>776</v>
      </c>
    </row>
    <row r="195" spans="1:6" ht="24" customHeight="1">
      <c r="A195" s="336" t="s">
        <v>587</v>
      </c>
      <c r="B195" s="336" t="s">
        <v>705</v>
      </c>
      <c r="C195" s="336" t="s">
        <v>774</v>
      </c>
      <c r="D195" s="336" t="s">
        <v>782</v>
      </c>
      <c r="E195" s="336" t="s">
        <v>708</v>
      </c>
      <c r="F195" s="336" t="s">
        <v>776</v>
      </c>
    </row>
    <row r="196" spans="1:6" ht="24" customHeight="1">
      <c r="A196" s="336" t="s">
        <v>587</v>
      </c>
      <c r="B196" s="336" t="s">
        <v>705</v>
      </c>
      <c r="C196" s="336" t="s">
        <v>774</v>
      </c>
      <c r="D196" s="336" t="s">
        <v>783</v>
      </c>
      <c r="E196" s="336" t="s">
        <v>708</v>
      </c>
      <c r="F196" s="336" t="s">
        <v>776</v>
      </c>
    </row>
    <row r="197" spans="1:6" ht="24" customHeight="1">
      <c r="A197" s="336" t="s">
        <v>587</v>
      </c>
      <c r="B197" s="336" t="s">
        <v>705</v>
      </c>
      <c r="C197" s="336" t="s">
        <v>774</v>
      </c>
      <c r="D197" s="336" t="s">
        <v>784</v>
      </c>
      <c r="E197" s="336" t="s">
        <v>708</v>
      </c>
      <c r="F197" s="336" t="s">
        <v>776</v>
      </c>
    </row>
    <row r="198" spans="1:6" ht="24" customHeight="1">
      <c r="A198" s="336" t="s">
        <v>587</v>
      </c>
      <c r="B198" s="336" t="s">
        <v>705</v>
      </c>
      <c r="C198" s="336" t="s">
        <v>774</v>
      </c>
      <c r="D198" s="336" t="s">
        <v>785</v>
      </c>
      <c r="E198" s="336" t="s">
        <v>708</v>
      </c>
      <c r="F198" s="336" t="s">
        <v>776</v>
      </c>
    </row>
    <row r="199" spans="1:6" ht="24" customHeight="1">
      <c r="A199" s="336" t="s">
        <v>587</v>
      </c>
      <c r="B199" s="336" t="s">
        <v>705</v>
      </c>
      <c r="C199" s="336" t="s">
        <v>774</v>
      </c>
      <c r="D199" s="336" t="s">
        <v>786</v>
      </c>
      <c r="E199" s="336" t="s">
        <v>708</v>
      </c>
      <c r="F199" s="336" t="s">
        <v>776</v>
      </c>
    </row>
    <row r="200" spans="1:6" ht="24" customHeight="1">
      <c r="A200" s="336" t="s">
        <v>587</v>
      </c>
      <c r="B200" s="336" t="s">
        <v>705</v>
      </c>
      <c r="C200" s="336" t="s">
        <v>774</v>
      </c>
      <c r="D200" s="336" t="s">
        <v>787</v>
      </c>
      <c r="E200" s="336" t="s">
        <v>708</v>
      </c>
      <c r="F200" s="336" t="s">
        <v>776</v>
      </c>
    </row>
    <row r="201" spans="1:6" ht="24" customHeight="1">
      <c r="A201" s="336" t="s">
        <v>587</v>
      </c>
      <c r="B201" s="336" t="s">
        <v>705</v>
      </c>
      <c r="C201" s="336" t="s">
        <v>774</v>
      </c>
      <c r="D201" s="336" t="s">
        <v>788</v>
      </c>
      <c r="E201" s="336" t="s">
        <v>708</v>
      </c>
      <c r="F201" s="336" t="s">
        <v>776</v>
      </c>
    </row>
    <row r="202" spans="1:6" ht="24" customHeight="1">
      <c r="A202" s="336" t="s">
        <v>587</v>
      </c>
      <c r="B202" s="336" t="s">
        <v>705</v>
      </c>
      <c r="C202" s="336" t="s">
        <v>774</v>
      </c>
      <c r="D202" s="336" t="s">
        <v>789</v>
      </c>
      <c r="E202" s="336" t="s">
        <v>708</v>
      </c>
      <c r="F202" s="336" t="s">
        <v>776</v>
      </c>
    </row>
    <row r="203" spans="1:6" ht="24" customHeight="1">
      <c r="A203" s="336" t="s">
        <v>587</v>
      </c>
      <c r="B203" s="336" t="s">
        <v>705</v>
      </c>
      <c r="C203" s="336" t="s">
        <v>790</v>
      </c>
      <c r="D203" s="336" t="s">
        <v>791</v>
      </c>
      <c r="E203" s="336" t="s">
        <v>708</v>
      </c>
      <c r="F203" s="336" t="s">
        <v>792</v>
      </c>
    </row>
    <row r="204" spans="1:6" ht="24" customHeight="1">
      <c r="A204" s="336" t="s">
        <v>587</v>
      </c>
      <c r="B204" s="336" t="s">
        <v>705</v>
      </c>
      <c r="C204" s="336" t="s">
        <v>793</v>
      </c>
      <c r="D204" s="336" t="s">
        <v>794</v>
      </c>
      <c r="E204" s="336" t="s">
        <v>708</v>
      </c>
      <c r="F204" s="336" t="s">
        <v>795</v>
      </c>
    </row>
    <row r="205" spans="1:6" ht="24" customHeight="1">
      <c r="A205" s="336" t="s">
        <v>587</v>
      </c>
      <c r="B205" s="336" t="s">
        <v>705</v>
      </c>
      <c r="C205" s="336" t="s">
        <v>793</v>
      </c>
      <c r="D205" s="336" t="s">
        <v>796</v>
      </c>
      <c r="E205" s="336" t="s">
        <v>708</v>
      </c>
      <c r="F205" s="336" t="s">
        <v>795</v>
      </c>
    </row>
    <row r="206" spans="1:6" ht="24" customHeight="1">
      <c r="A206" s="336" t="s">
        <v>587</v>
      </c>
      <c r="B206" s="336" t="s">
        <v>705</v>
      </c>
      <c r="C206" s="336" t="s">
        <v>793</v>
      </c>
      <c r="D206" s="336" t="s">
        <v>797</v>
      </c>
      <c r="E206" s="336" t="s">
        <v>708</v>
      </c>
      <c r="F206" s="336" t="s">
        <v>795</v>
      </c>
    </row>
    <row r="207" spans="1:6" ht="24" customHeight="1">
      <c r="A207" s="336" t="s">
        <v>587</v>
      </c>
      <c r="B207" s="336" t="s">
        <v>705</v>
      </c>
      <c r="C207" s="336" t="s">
        <v>793</v>
      </c>
      <c r="D207" s="336" t="s">
        <v>798</v>
      </c>
      <c r="E207" s="336" t="s">
        <v>708</v>
      </c>
      <c r="F207" s="336" t="s">
        <v>795</v>
      </c>
    </row>
    <row r="208" spans="1:6" ht="24" customHeight="1">
      <c r="A208" s="336" t="s">
        <v>587</v>
      </c>
      <c r="B208" s="336" t="s">
        <v>705</v>
      </c>
      <c r="C208" s="336" t="s">
        <v>793</v>
      </c>
      <c r="D208" s="336" t="s">
        <v>799</v>
      </c>
      <c r="E208" s="336" t="s">
        <v>708</v>
      </c>
      <c r="F208" s="336" t="s">
        <v>795</v>
      </c>
    </row>
    <row r="209" spans="1:6" ht="24" customHeight="1">
      <c r="A209" s="336" t="s">
        <v>587</v>
      </c>
      <c r="B209" s="336" t="s">
        <v>705</v>
      </c>
      <c r="C209" s="336" t="s">
        <v>793</v>
      </c>
      <c r="D209" s="336" t="s">
        <v>800</v>
      </c>
      <c r="E209" s="336" t="s">
        <v>708</v>
      </c>
      <c r="F209" s="336" t="s">
        <v>795</v>
      </c>
    </row>
    <row r="210" spans="1:6" ht="24" customHeight="1">
      <c r="A210" s="336" t="s">
        <v>587</v>
      </c>
      <c r="B210" s="336" t="s">
        <v>705</v>
      </c>
      <c r="C210" s="336" t="s">
        <v>793</v>
      </c>
      <c r="D210" s="336" t="s">
        <v>801</v>
      </c>
      <c r="E210" s="336" t="s">
        <v>708</v>
      </c>
      <c r="F210" s="336" t="s">
        <v>795</v>
      </c>
    </row>
    <row r="211" spans="1:6" ht="24" customHeight="1">
      <c r="A211" s="336" t="s">
        <v>587</v>
      </c>
      <c r="B211" s="336" t="s">
        <v>705</v>
      </c>
      <c r="C211" s="336" t="s">
        <v>793</v>
      </c>
      <c r="D211" s="336" t="s">
        <v>802</v>
      </c>
      <c r="E211" s="336" t="s">
        <v>708</v>
      </c>
      <c r="F211" s="336" t="s">
        <v>795</v>
      </c>
    </row>
    <row r="212" spans="1:6" ht="24" customHeight="1">
      <c r="A212" s="336" t="s">
        <v>587</v>
      </c>
      <c r="B212" s="336" t="s">
        <v>705</v>
      </c>
      <c r="C212" s="336" t="s">
        <v>793</v>
      </c>
      <c r="D212" s="336" t="s">
        <v>803</v>
      </c>
      <c r="E212" s="336" t="s">
        <v>708</v>
      </c>
      <c r="F212" s="336" t="s">
        <v>795</v>
      </c>
    </row>
    <row r="213" spans="1:6" ht="24" customHeight="1">
      <c r="A213" s="336" t="s">
        <v>587</v>
      </c>
      <c r="B213" s="336" t="s">
        <v>705</v>
      </c>
      <c r="C213" s="336" t="s">
        <v>793</v>
      </c>
      <c r="D213" s="336" t="s">
        <v>804</v>
      </c>
      <c r="E213" s="336" t="s">
        <v>708</v>
      </c>
      <c r="F213" s="336" t="s">
        <v>795</v>
      </c>
    </row>
    <row r="214" spans="1:6" ht="24" customHeight="1">
      <c r="A214" s="336" t="s">
        <v>587</v>
      </c>
      <c r="B214" s="336" t="s">
        <v>705</v>
      </c>
      <c r="C214" s="336" t="s">
        <v>793</v>
      </c>
      <c r="D214" s="336" t="s">
        <v>805</v>
      </c>
      <c r="E214" s="336" t="s">
        <v>708</v>
      </c>
      <c r="F214" s="336" t="s">
        <v>795</v>
      </c>
    </row>
    <row r="215" spans="1:6" ht="24" customHeight="1">
      <c r="A215" s="336" t="s">
        <v>587</v>
      </c>
      <c r="B215" s="336" t="s">
        <v>705</v>
      </c>
      <c r="C215" s="336" t="s">
        <v>806</v>
      </c>
      <c r="D215" s="336" t="s">
        <v>807</v>
      </c>
      <c r="E215" s="336" t="s">
        <v>708</v>
      </c>
      <c r="F215" s="336" t="s">
        <v>808</v>
      </c>
    </row>
    <row r="216" spans="1:6" ht="24" customHeight="1">
      <c r="A216" s="336" t="s">
        <v>587</v>
      </c>
      <c r="B216" s="336" t="s">
        <v>705</v>
      </c>
      <c r="C216" s="336" t="s">
        <v>806</v>
      </c>
      <c r="D216" s="336" t="s">
        <v>809</v>
      </c>
      <c r="E216" s="336" t="s">
        <v>708</v>
      </c>
      <c r="F216" s="336" t="s">
        <v>808</v>
      </c>
    </row>
    <row r="217" spans="1:6" ht="24" customHeight="1">
      <c r="A217" s="336" t="s">
        <v>587</v>
      </c>
      <c r="B217" s="336" t="s">
        <v>705</v>
      </c>
      <c r="C217" s="336" t="s">
        <v>806</v>
      </c>
      <c r="D217" s="336" t="s">
        <v>810</v>
      </c>
      <c r="E217" s="336" t="s">
        <v>708</v>
      </c>
      <c r="F217" s="336" t="s">
        <v>808</v>
      </c>
    </row>
    <row r="218" spans="1:6" ht="24" customHeight="1">
      <c r="A218" s="336" t="s">
        <v>587</v>
      </c>
      <c r="B218" s="336" t="s">
        <v>705</v>
      </c>
      <c r="C218" s="336" t="s">
        <v>806</v>
      </c>
      <c r="D218" s="336" t="s">
        <v>811</v>
      </c>
      <c r="E218" s="336" t="s">
        <v>708</v>
      </c>
      <c r="F218" s="336" t="s">
        <v>808</v>
      </c>
    </row>
    <row r="219" spans="1:6" ht="24" customHeight="1">
      <c r="A219" s="336" t="s">
        <v>587</v>
      </c>
      <c r="B219" s="336" t="s">
        <v>705</v>
      </c>
      <c r="C219" s="336" t="s">
        <v>806</v>
      </c>
      <c r="D219" s="336" t="s">
        <v>812</v>
      </c>
      <c r="E219" s="336" t="s">
        <v>708</v>
      </c>
      <c r="F219" s="336" t="s">
        <v>808</v>
      </c>
    </row>
    <row r="220" spans="1:6" ht="24" customHeight="1">
      <c r="A220" s="336" t="s">
        <v>587</v>
      </c>
      <c r="B220" s="336" t="s">
        <v>705</v>
      </c>
      <c r="C220" s="336" t="s">
        <v>806</v>
      </c>
      <c r="D220" s="336" t="s">
        <v>813</v>
      </c>
      <c r="E220" s="336" t="s">
        <v>708</v>
      </c>
      <c r="F220" s="336" t="s">
        <v>808</v>
      </c>
    </row>
    <row r="221" spans="1:6" ht="24" customHeight="1">
      <c r="A221" s="336" t="s">
        <v>587</v>
      </c>
      <c r="B221" s="336" t="s">
        <v>705</v>
      </c>
      <c r="C221" s="336" t="s">
        <v>806</v>
      </c>
      <c r="D221" s="336" t="s">
        <v>814</v>
      </c>
      <c r="E221" s="336" t="s">
        <v>708</v>
      </c>
      <c r="F221" s="336" t="s">
        <v>808</v>
      </c>
    </row>
    <row r="222" spans="1:6" ht="24" customHeight="1">
      <c r="A222" s="336" t="s">
        <v>587</v>
      </c>
      <c r="B222" s="336" t="s">
        <v>705</v>
      </c>
      <c r="C222" s="336" t="s">
        <v>806</v>
      </c>
      <c r="D222" s="336" t="s">
        <v>815</v>
      </c>
      <c r="E222" s="336" t="s">
        <v>708</v>
      </c>
      <c r="F222" s="336" t="s">
        <v>808</v>
      </c>
    </row>
    <row r="223" spans="1:6" ht="24" customHeight="1">
      <c r="A223" s="336" t="s">
        <v>587</v>
      </c>
      <c r="B223" s="336" t="s">
        <v>705</v>
      </c>
      <c r="C223" s="336" t="s">
        <v>806</v>
      </c>
      <c r="D223" s="336" t="s">
        <v>816</v>
      </c>
      <c r="E223" s="336" t="s">
        <v>708</v>
      </c>
      <c r="F223" s="336" t="s">
        <v>808</v>
      </c>
    </row>
    <row r="224" spans="1:6" ht="24" customHeight="1">
      <c r="A224" s="336" t="s">
        <v>587</v>
      </c>
      <c r="B224" s="336" t="s">
        <v>705</v>
      </c>
      <c r="C224" s="336" t="s">
        <v>806</v>
      </c>
      <c r="D224" s="336" t="s">
        <v>817</v>
      </c>
      <c r="E224" s="336" t="s">
        <v>708</v>
      </c>
      <c r="F224" s="336" t="s">
        <v>808</v>
      </c>
    </row>
    <row r="225" spans="1:6" ht="24" customHeight="1">
      <c r="A225" s="336" t="s">
        <v>587</v>
      </c>
      <c r="B225" s="336" t="s">
        <v>705</v>
      </c>
      <c r="C225" s="336" t="s">
        <v>806</v>
      </c>
      <c r="D225" s="336" t="s">
        <v>818</v>
      </c>
      <c r="E225" s="336" t="s">
        <v>708</v>
      </c>
      <c r="F225" s="336" t="s">
        <v>808</v>
      </c>
    </row>
    <row r="226" spans="1:6" ht="24" customHeight="1">
      <c r="A226" s="336" t="s">
        <v>587</v>
      </c>
      <c r="B226" s="336" t="s">
        <v>705</v>
      </c>
      <c r="C226" s="336" t="s">
        <v>806</v>
      </c>
      <c r="D226" s="336" t="s">
        <v>819</v>
      </c>
      <c r="E226" s="336" t="s">
        <v>708</v>
      </c>
      <c r="F226" s="336" t="s">
        <v>808</v>
      </c>
    </row>
    <row r="227" spans="1:6" ht="24" customHeight="1">
      <c r="A227" s="336" t="s">
        <v>587</v>
      </c>
      <c r="B227" s="336" t="s">
        <v>705</v>
      </c>
      <c r="C227" s="336" t="s">
        <v>806</v>
      </c>
      <c r="D227" s="336" t="s">
        <v>820</v>
      </c>
      <c r="E227" s="336" t="s">
        <v>708</v>
      </c>
      <c r="F227" s="336" t="s">
        <v>808</v>
      </c>
    </row>
    <row r="228" spans="1:6" ht="24" customHeight="1">
      <c r="A228" s="336" t="s">
        <v>587</v>
      </c>
      <c r="B228" s="336" t="s">
        <v>705</v>
      </c>
      <c r="C228" s="336" t="s">
        <v>806</v>
      </c>
      <c r="D228" s="336" t="s">
        <v>821</v>
      </c>
      <c r="E228" s="336" t="s">
        <v>708</v>
      </c>
      <c r="F228" s="336" t="s">
        <v>808</v>
      </c>
    </row>
    <row r="229" spans="1:6" ht="24" customHeight="1">
      <c r="A229" s="336" t="s">
        <v>587</v>
      </c>
      <c r="B229" s="336" t="s">
        <v>705</v>
      </c>
      <c r="C229" s="336" t="s">
        <v>806</v>
      </c>
      <c r="D229" s="336" t="s">
        <v>822</v>
      </c>
      <c r="E229" s="336" t="s">
        <v>708</v>
      </c>
      <c r="F229" s="336" t="s">
        <v>808</v>
      </c>
    </row>
    <row r="230" spans="1:6" ht="24" customHeight="1">
      <c r="A230" s="336" t="s">
        <v>587</v>
      </c>
      <c r="B230" s="336" t="s">
        <v>705</v>
      </c>
      <c r="C230" s="336" t="s">
        <v>806</v>
      </c>
      <c r="D230" s="336" t="s">
        <v>823</v>
      </c>
      <c r="E230" s="336" t="s">
        <v>708</v>
      </c>
      <c r="F230" s="336" t="s">
        <v>808</v>
      </c>
    </row>
    <row r="231" spans="1:6" ht="24" customHeight="1">
      <c r="A231" s="336" t="s">
        <v>587</v>
      </c>
      <c r="B231" s="336" t="s">
        <v>705</v>
      </c>
      <c r="C231" s="336" t="s">
        <v>806</v>
      </c>
      <c r="D231" s="336" t="s">
        <v>824</v>
      </c>
      <c r="E231" s="336" t="s">
        <v>708</v>
      </c>
      <c r="F231" s="336" t="s">
        <v>808</v>
      </c>
    </row>
    <row r="232" spans="1:6" ht="24" customHeight="1">
      <c r="A232" s="336" t="s">
        <v>587</v>
      </c>
      <c r="B232" s="336" t="s">
        <v>705</v>
      </c>
      <c r="C232" s="336" t="s">
        <v>806</v>
      </c>
      <c r="D232" s="336" t="s">
        <v>825</v>
      </c>
      <c r="E232" s="336" t="s">
        <v>708</v>
      </c>
      <c r="F232" s="336" t="s">
        <v>808</v>
      </c>
    </row>
    <row r="233" spans="1:6" ht="24" customHeight="1">
      <c r="A233" s="336" t="s">
        <v>587</v>
      </c>
      <c r="B233" s="336" t="s">
        <v>705</v>
      </c>
      <c r="C233" s="336" t="s">
        <v>806</v>
      </c>
      <c r="D233" s="336" t="s">
        <v>826</v>
      </c>
      <c r="E233" s="336" t="s">
        <v>708</v>
      </c>
      <c r="F233" s="336" t="s">
        <v>808</v>
      </c>
    </row>
    <row r="234" spans="1:6" ht="24" customHeight="1">
      <c r="A234" s="336" t="s">
        <v>587</v>
      </c>
      <c r="B234" s="336" t="s">
        <v>705</v>
      </c>
      <c r="C234" s="336" t="s">
        <v>806</v>
      </c>
      <c r="D234" s="336" t="s">
        <v>827</v>
      </c>
      <c r="E234" s="336" t="s">
        <v>708</v>
      </c>
      <c r="F234" s="336" t="s">
        <v>808</v>
      </c>
    </row>
    <row r="235" spans="1:6" ht="24" customHeight="1">
      <c r="A235" s="336" t="s">
        <v>587</v>
      </c>
      <c r="B235" s="336" t="s">
        <v>705</v>
      </c>
      <c r="C235" s="336" t="s">
        <v>806</v>
      </c>
      <c r="D235" s="336" t="s">
        <v>828</v>
      </c>
      <c r="E235" s="336" t="s">
        <v>708</v>
      </c>
      <c r="F235" s="336" t="s">
        <v>808</v>
      </c>
    </row>
    <row r="236" spans="1:6" ht="24" customHeight="1">
      <c r="A236" s="336" t="s">
        <v>587</v>
      </c>
      <c r="B236" s="336" t="s">
        <v>705</v>
      </c>
      <c r="C236" s="336" t="s">
        <v>829</v>
      </c>
      <c r="D236" s="336" t="s">
        <v>830</v>
      </c>
      <c r="E236" s="336" t="s">
        <v>708</v>
      </c>
      <c r="F236" s="336" t="s">
        <v>831</v>
      </c>
    </row>
    <row r="237" spans="1:6" ht="24" customHeight="1">
      <c r="A237" s="336" t="s">
        <v>587</v>
      </c>
      <c r="B237" s="336" t="s">
        <v>705</v>
      </c>
      <c r="C237" s="336" t="s">
        <v>829</v>
      </c>
      <c r="D237" s="336" t="s">
        <v>832</v>
      </c>
      <c r="E237" s="336" t="s">
        <v>708</v>
      </c>
      <c r="F237" s="336" t="s">
        <v>831</v>
      </c>
    </row>
    <row r="238" spans="1:6" ht="24" customHeight="1">
      <c r="A238" s="336" t="s">
        <v>587</v>
      </c>
      <c r="B238" s="336" t="s">
        <v>705</v>
      </c>
      <c r="C238" s="336" t="s">
        <v>833</v>
      </c>
      <c r="D238" s="336" t="s">
        <v>834</v>
      </c>
      <c r="E238" s="336" t="s">
        <v>708</v>
      </c>
      <c r="F238" s="336" t="s">
        <v>835</v>
      </c>
    </row>
    <row r="239" spans="1:6" ht="24" customHeight="1">
      <c r="A239" s="336" t="s">
        <v>587</v>
      </c>
      <c r="B239" s="336" t="s">
        <v>705</v>
      </c>
      <c r="C239" s="336" t="s">
        <v>833</v>
      </c>
      <c r="D239" s="336" t="s">
        <v>836</v>
      </c>
      <c r="E239" s="336" t="s">
        <v>708</v>
      </c>
      <c r="F239" s="336" t="s">
        <v>835</v>
      </c>
    </row>
    <row r="240" spans="1:6" ht="24" customHeight="1">
      <c r="A240" s="336" t="s">
        <v>587</v>
      </c>
      <c r="B240" s="336" t="s">
        <v>705</v>
      </c>
      <c r="C240" s="336" t="s">
        <v>833</v>
      </c>
      <c r="D240" s="336" t="s">
        <v>837</v>
      </c>
      <c r="E240" s="336" t="s">
        <v>708</v>
      </c>
      <c r="F240" s="336" t="s">
        <v>835</v>
      </c>
    </row>
    <row r="241" spans="1:6" ht="24" customHeight="1">
      <c r="A241" s="336" t="s">
        <v>587</v>
      </c>
      <c r="B241" s="336" t="s">
        <v>705</v>
      </c>
      <c r="C241" s="336" t="s">
        <v>833</v>
      </c>
      <c r="D241" s="336" t="s">
        <v>838</v>
      </c>
      <c r="E241" s="336" t="s">
        <v>708</v>
      </c>
      <c r="F241" s="336" t="s">
        <v>835</v>
      </c>
    </row>
    <row r="242" spans="1:6" ht="24" customHeight="1">
      <c r="A242" s="336" t="s">
        <v>587</v>
      </c>
      <c r="B242" s="336" t="s">
        <v>705</v>
      </c>
      <c r="C242" s="336" t="s">
        <v>833</v>
      </c>
      <c r="D242" s="336" t="s">
        <v>839</v>
      </c>
      <c r="E242" s="336" t="s">
        <v>708</v>
      </c>
      <c r="F242" s="336" t="s">
        <v>835</v>
      </c>
    </row>
    <row r="243" spans="1:6" ht="24" customHeight="1">
      <c r="A243" s="336" t="s">
        <v>587</v>
      </c>
      <c r="B243" s="336" t="s">
        <v>705</v>
      </c>
      <c r="C243" s="336" t="s">
        <v>833</v>
      </c>
      <c r="D243" s="336" t="s">
        <v>840</v>
      </c>
      <c r="E243" s="336" t="s">
        <v>708</v>
      </c>
      <c r="F243" s="336" t="s">
        <v>835</v>
      </c>
    </row>
    <row r="244" spans="1:6" ht="24" customHeight="1">
      <c r="A244" s="336" t="s">
        <v>587</v>
      </c>
      <c r="B244" s="336" t="s">
        <v>705</v>
      </c>
      <c r="C244" s="336" t="s">
        <v>833</v>
      </c>
      <c r="D244" s="336" t="s">
        <v>841</v>
      </c>
      <c r="E244" s="336" t="s">
        <v>708</v>
      </c>
      <c r="F244" s="336" t="s">
        <v>835</v>
      </c>
    </row>
    <row r="245" spans="1:6" ht="24" customHeight="1">
      <c r="A245" s="336" t="s">
        <v>587</v>
      </c>
      <c r="B245" s="336" t="s">
        <v>705</v>
      </c>
      <c r="C245" s="336" t="s">
        <v>833</v>
      </c>
      <c r="D245" s="336" t="s">
        <v>842</v>
      </c>
      <c r="E245" s="336" t="s">
        <v>708</v>
      </c>
      <c r="F245" s="336" t="s">
        <v>835</v>
      </c>
    </row>
    <row r="246" spans="1:6" ht="24" customHeight="1">
      <c r="A246" s="336" t="s">
        <v>587</v>
      </c>
      <c r="B246" s="336" t="s">
        <v>705</v>
      </c>
      <c r="C246" s="336" t="s">
        <v>833</v>
      </c>
      <c r="D246" s="336" t="s">
        <v>843</v>
      </c>
      <c r="E246" s="336" t="s">
        <v>708</v>
      </c>
      <c r="F246" s="336" t="s">
        <v>835</v>
      </c>
    </row>
    <row r="247" spans="1:6" ht="24" customHeight="1">
      <c r="A247" s="336" t="s">
        <v>587</v>
      </c>
      <c r="B247" s="336" t="s">
        <v>705</v>
      </c>
      <c r="C247" s="336" t="s">
        <v>833</v>
      </c>
      <c r="D247" s="336" t="s">
        <v>844</v>
      </c>
      <c r="E247" s="336" t="s">
        <v>708</v>
      </c>
      <c r="F247" s="336" t="s">
        <v>835</v>
      </c>
    </row>
    <row r="248" spans="1:6" ht="24" customHeight="1">
      <c r="A248" s="336" t="s">
        <v>587</v>
      </c>
      <c r="B248" s="336" t="s">
        <v>705</v>
      </c>
      <c r="C248" s="336" t="s">
        <v>833</v>
      </c>
      <c r="D248" s="336" t="s">
        <v>845</v>
      </c>
      <c r="E248" s="336" t="s">
        <v>708</v>
      </c>
      <c r="F248" s="336" t="s">
        <v>835</v>
      </c>
    </row>
    <row r="249" spans="1:6" ht="24" customHeight="1">
      <c r="A249" s="336" t="s">
        <v>587</v>
      </c>
      <c r="B249" s="336" t="s">
        <v>705</v>
      </c>
      <c r="C249" s="336" t="s">
        <v>833</v>
      </c>
      <c r="D249" s="336" t="s">
        <v>846</v>
      </c>
      <c r="E249" s="336" t="s">
        <v>708</v>
      </c>
      <c r="F249" s="336" t="s">
        <v>835</v>
      </c>
    </row>
    <row r="250" spans="1:6" ht="24" customHeight="1">
      <c r="A250" s="336" t="s">
        <v>587</v>
      </c>
      <c r="B250" s="336" t="s">
        <v>705</v>
      </c>
      <c r="C250" s="336" t="s">
        <v>833</v>
      </c>
      <c r="D250" s="336" t="s">
        <v>847</v>
      </c>
      <c r="E250" s="336" t="s">
        <v>708</v>
      </c>
      <c r="F250" s="336" t="s">
        <v>835</v>
      </c>
    </row>
    <row r="251" spans="1:6" ht="24" customHeight="1">
      <c r="A251" s="336" t="s">
        <v>587</v>
      </c>
      <c r="B251" s="336" t="s">
        <v>705</v>
      </c>
      <c r="C251" s="336" t="s">
        <v>833</v>
      </c>
      <c r="D251" s="336" t="s">
        <v>848</v>
      </c>
      <c r="E251" s="336" t="s">
        <v>708</v>
      </c>
      <c r="F251" s="336" t="s">
        <v>835</v>
      </c>
    </row>
    <row r="252" spans="1:6" ht="24" customHeight="1">
      <c r="A252" s="336" t="s">
        <v>587</v>
      </c>
      <c r="B252" s="336" t="s">
        <v>705</v>
      </c>
      <c r="C252" s="336" t="s">
        <v>833</v>
      </c>
      <c r="D252" s="336" t="s">
        <v>849</v>
      </c>
      <c r="E252" s="336" t="s">
        <v>708</v>
      </c>
      <c r="F252" s="336" t="s">
        <v>835</v>
      </c>
    </row>
    <row r="253" spans="1:6" ht="24" customHeight="1">
      <c r="A253" s="336" t="s">
        <v>587</v>
      </c>
      <c r="B253" s="336" t="s">
        <v>705</v>
      </c>
      <c r="C253" s="336" t="s">
        <v>833</v>
      </c>
      <c r="D253" s="336" t="s">
        <v>850</v>
      </c>
      <c r="E253" s="336" t="s">
        <v>708</v>
      </c>
      <c r="F253" s="336" t="s">
        <v>835</v>
      </c>
    </row>
    <row r="254" spans="1:6" ht="24" customHeight="1">
      <c r="A254" s="336" t="s">
        <v>587</v>
      </c>
      <c r="B254" s="336" t="s">
        <v>705</v>
      </c>
      <c r="C254" s="336" t="s">
        <v>833</v>
      </c>
      <c r="D254" s="336" t="s">
        <v>851</v>
      </c>
      <c r="E254" s="336" t="s">
        <v>708</v>
      </c>
      <c r="F254" s="336" t="s">
        <v>835</v>
      </c>
    </row>
    <row r="255" spans="1:6" ht="24" customHeight="1">
      <c r="A255" s="336" t="s">
        <v>587</v>
      </c>
      <c r="B255" s="336" t="s">
        <v>705</v>
      </c>
      <c r="C255" s="336" t="s">
        <v>833</v>
      </c>
      <c r="D255" s="336" t="s">
        <v>852</v>
      </c>
      <c r="E255" s="336" t="s">
        <v>708</v>
      </c>
      <c r="F255" s="336" t="s">
        <v>835</v>
      </c>
    </row>
    <row r="256" spans="1:6" ht="24" customHeight="1">
      <c r="A256" s="336" t="s">
        <v>587</v>
      </c>
      <c r="B256" s="336" t="s">
        <v>705</v>
      </c>
      <c r="C256" s="336" t="s">
        <v>833</v>
      </c>
      <c r="D256" s="336" t="s">
        <v>853</v>
      </c>
      <c r="E256" s="336" t="s">
        <v>708</v>
      </c>
      <c r="F256" s="336" t="s">
        <v>835</v>
      </c>
    </row>
    <row r="257" spans="1:6" ht="24" customHeight="1">
      <c r="A257" s="336" t="s">
        <v>587</v>
      </c>
      <c r="B257" s="336" t="s">
        <v>705</v>
      </c>
      <c r="C257" s="336" t="s">
        <v>833</v>
      </c>
      <c r="D257" s="336" t="s">
        <v>854</v>
      </c>
      <c r="E257" s="336" t="s">
        <v>708</v>
      </c>
      <c r="F257" s="336" t="s">
        <v>835</v>
      </c>
    </row>
    <row r="258" spans="1:6" ht="24" customHeight="1">
      <c r="A258" s="336" t="s">
        <v>587</v>
      </c>
      <c r="B258" s="336" t="s">
        <v>705</v>
      </c>
      <c r="C258" s="336" t="s">
        <v>833</v>
      </c>
      <c r="D258" s="336" t="s">
        <v>855</v>
      </c>
      <c r="E258" s="336" t="s">
        <v>708</v>
      </c>
      <c r="F258" s="336" t="s">
        <v>835</v>
      </c>
    </row>
    <row r="259" spans="1:6" ht="24" customHeight="1">
      <c r="A259" s="336" t="s">
        <v>587</v>
      </c>
      <c r="B259" s="336" t="s">
        <v>705</v>
      </c>
      <c r="C259" s="336" t="s">
        <v>833</v>
      </c>
      <c r="D259" s="336" t="s">
        <v>856</v>
      </c>
      <c r="E259" s="336" t="s">
        <v>708</v>
      </c>
      <c r="F259" s="336" t="s">
        <v>835</v>
      </c>
    </row>
    <row r="260" spans="1:6" ht="24" customHeight="1">
      <c r="A260" s="336" t="s">
        <v>587</v>
      </c>
      <c r="B260" s="336" t="s">
        <v>705</v>
      </c>
      <c r="C260" s="336" t="s">
        <v>833</v>
      </c>
      <c r="D260" s="336" t="s">
        <v>857</v>
      </c>
      <c r="E260" s="336" t="s">
        <v>708</v>
      </c>
      <c r="F260" s="336" t="s">
        <v>835</v>
      </c>
    </row>
    <row r="261" spans="1:6" ht="24" customHeight="1">
      <c r="A261" s="336" t="s">
        <v>587</v>
      </c>
      <c r="B261" s="336" t="s">
        <v>705</v>
      </c>
      <c r="C261" s="336" t="s">
        <v>833</v>
      </c>
      <c r="D261" s="336" t="s">
        <v>858</v>
      </c>
      <c r="E261" s="336" t="s">
        <v>708</v>
      </c>
      <c r="F261" s="336" t="s">
        <v>835</v>
      </c>
    </row>
    <row r="262" spans="1:6" ht="24" customHeight="1">
      <c r="A262" s="336" t="s">
        <v>587</v>
      </c>
      <c r="B262" s="336" t="s">
        <v>705</v>
      </c>
      <c r="C262" s="336" t="s">
        <v>833</v>
      </c>
      <c r="D262" s="336" t="s">
        <v>859</v>
      </c>
      <c r="E262" s="336" t="s">
        <v>708</v>
      </c>
      <c r="F262" s="336" t="s">
        <v>835</v>
      </c>
    </row>
    <row r="263" spans="1:6" ht="24" customHeight="1">
      <c r="A263" s="336" t="s">
        <v>587</v>
      </c>
      <c r="B263" s="336" t="s">
        <v>705</v>
      </c>
      <c r="C263" s="336" t="s">
        <v>833</v>
      </c>
      <c r="D263" s="336" t="s">
        <v>860</v>
      </c>
      <c r="E263" s="336" t="s">
        <v>708</v>
      </c>
      <c r="F263" s="336" t="s">
        <v>835</v>
      </c>
    </row>
    <row r="264" spans="1:6" ht="24" customHeight="1">
      <c r="A264" s="336" t="s">
        <v>587</v>
      </c>
      <c r="B264" s="336" t="s">
        <v>705</v>
      </c>
      <c r="C264" s="336" t="s">
        <v>833</v>
      </c>
      <c r="D264" s="336" t="s">
        <v>861</v>
      </c>
      <c r="E264" s="336" t="s">
        <v>708</v>
      </c>
      <c r="F264" s="336" t="s">
        <v>835</v>
      </c>
    </row>
    <row r="265" spans="1:6" ht="24" customHeight="1">
      <c r="A265" s="336" t="s">
        <v>587</v>
      </c>
      <c r="B265" s="336" t="s">
        <v>705</v>
      </c>
      <c r="C265" s="336" t="s">
        <v>833</v>
      </c>
      <c r="D265" s="336" t="s">
        <v>862</v>
      </c>
      <c r="E265" s="336" t="s">
        <v>708</v>
      </c>
      <c r="F265" s="336" t="s">
        <v>835</v>
      </c>
    </row>
    <row r="266" spans="1:6" ht="24" customHeight="1">
      <c r="A266" s="336" t="s">
        <v>587</v>
      </c>
      <c r="B266" s="336" t="s">
        <v>705</v>
      </c>
      <c r="C266" s="336" t="s">
        <v>863</v>
      </c>
      <c r="D266" s="336" t="s">
        <v>864</v>
      </c>
      <c r="E266" s="336" t="s">
        <v>708</v>
      </c>
      <c r="F266" s="336" t="s">
        <v>865</v>
      </c>
    </row>
    <row r="267" spans="1:6" ht="24" customHeight="1">
      <c r="A267" s="336" t="s">
        <v>587</v>
      </c>
      <c r="B267" s="336" t="s">
        <v>705</v>
      </c>
      <c r="C267" s="336" t="s">
        <v>863</v>
      </c>
      <c r="D267" s="336" t="s">
        <v>866</v>
      </c>
      <c r="E267" s="336" t="s">
        <v>708</v>
      </c>
      <c r="F267" s="336" t="s">
        <v>865</v>
      </c>
    </row>
    <row r="268" spans="1:6" ht="24" customHeight="1">
      <c r="A268" s="336" t="s">
        <v>587</v>
      </c>
      <c r="B268" s="336" t="s">
        <v>705</v>
      </c>
      <c r="C268" s="336" t="s">
        <v>863</v>
      </c>
      <c r="D268" s="336" t="s">
        <v>867</v>
      </c>
      <c r="E268" s="336" t="s">
        <v>708</v>
      </c>
      <c r="F268" s="336" t="s">
        <v>865</v>
      </c>
    </row>
    <row r="269" spans="1:6" ht="24" customHeight="1">
      <c r="A269" s="336" t="s">
        <v>587</v>
      </c>
      <c r="B269" s="336" t="s">
        <v>705</v>
      </c>
      <c r="C269" s="336" t="s">
        <v>863</v>
      </c>
      <c r="D269" s="336" t="s">
        <v>868</v>
      </c>
      <c r="E269" s="336" t="s">
        <v>708</v>
      </c>
      <c r="F269" s="336" t="s">
        <v>865</v>
      </c>
    </row>
    <row r="270" spans="1:6" ht="24" customHeight="1">
      <c r="A270" s="336" t="s">
        <v>587</v>
      </c>
      <c r="B270" s="336" t="s">
        <v>705</v>
      </c>
      <c r="C270" s="336" t="s">
        <v>863</v>
      </c>
      <c r="D270" s="336" t="s">
        <v>869</v>
      </c>
      <c r="E270" s="336" t="s">
        <v>708</v>
      </c>
      <c r="F270" s="336" t="s">
        <v>865</v>
      </c>
    </row>
    <row r="271" spans="1:6" ht="24" customHeight="1">
      <c r="A271" s="336" t="s">
        <v>587</v>
      </c>
      <c r="B271" s="336" t="s">
        <v>870</v>
      </c>
      <c r="C271" s="336" t="s">
        <v>871</v>
      </c>
      <c r="D271" s="336" t="s">
        <v>425</v>
      </c>
      <c r="E271" s="336" t="s">
        <v>590</v>
      </c>
      <c r="F271" s="336" t="s">
        <v>872</v>
      </c>
    </row>
    <row r="272" spans="1:6" ht="24" customHeight="1">
      <c r="A272" s="336" t="s">
        <v>587</v>
      </c>
      <c r="B272" s="336" t="s">
        <v>870</v>
      </c>
      <c r="C272" s="336" t="s">
        <v>871</v>
      </c>
      <c r="D272" s="336" t="s">
        <v>428</v>
      </c>
      <c r="E272" s="336" t="s">
        <v>590</v>
      </c>
      <c r="F272" s="336" t="s">
        <v>872</v>
      </c>
    </row>
    <row r="273" spans="1:6" ht="24" customHeight="1">
      <c r="A273" s="336" t="s">
        <v>587</v>
      </c>
      <c r="B273" s="336" t="s">
        <v>870</v>
      </c>
      <c r="C273" s="336" t="s">
        <v>871</v>
      </c>
      <c r="D273" s="336" t="s">
        <v>433</v>
      </c>
      <c r="E273" s="336" t="s">
        <v>590</v>
      </c>
      <c r="F273" s="336" t="s">
        <v>872</v>
      </c>
    </row>
    <row r="274" spans="1:6" ht="24" customHeight="1">
      <c r="A274" s="336" t="s">
        <v>587</v>
      </c>
      <c r="B274" s="336" t="s">
        <v>870</v>
      </c>
      <c r="C274" s="336" t="s">
        <v>871</v>
      </c>
      <c r="D274" s="336" t="s">
        <v>438</v>
      </c>
      <c r="E274" s="336" t="s">
        <v>590</v>
      </c>
      <c r="F274" s="336" t="s">
        <v>872</v>
      </c>
    </row>
    <row r="275" spans="1:6" ht="24" customHeight="1">
      <c r="A275" s="336" t="s">
        <v>587</v>
      </c>
      <c r="B275" s="336" t="s">
        <v>870</v>
      </c>
      <c r="C275" s="336" t="s">
        <v>871</v>
      </c>
      <c r="D275" s="336" t="s">
        <v>441</v>
      </c>
      <c r="E275" s="336" t="s">
        <v>590</v>
      </c>
      <c r="F275" s="336" t="s">
        <v>872</v>
      </c>
    </row>
    <row r="276" spans="1:6" ht="24" customHeight="1">
      <c r="A276" s="336" t="s">
        <v>587</v>
      </c>
      <c r="B276" s="336" t="s">
        <v>873</v>
      </c>
      <c r="C276" s="336" t="s">
        <v>874</v>
      </c>
      <c r="D276" s="336" t="s">
        <v>875</v>
      </c>
      <c r="E276" s="336" t="s">
        <v>876</v>
      </c>
      <c r="F276" s="336" t="s">
        <v>877</v>
      </c>
    </row>
    <row r="277" spans="1:6" ht="24" customHeight="1">
      <c r="A277" s="336" t="s">
        <v>587</v>
      </c>
      <c r="B277" s="336" t="s">
        <v>873</v>
      </c>
      <c r="C277" s="336" t="s">
        <v>874</v>
      </c>
      <c r="D277" s="336" t="s">
        <v>878</v>
      </c>
      <c r="E277" s="336" t="s">
        <v>876</v>
      </c>
      <c r="F277" s="336" t="s">
        <v>877</v>
      </c>
    </row>
    <row r="278" spans="1:6" ht="24" customHeight="1">
      <c r="A278" s="336" t="s">
        <v>587</v>
      </c>
      <c r="B278" s="336" t="s">
        <v>873</v>
      </c>
      <c r="C278" s="336" t="s">
        <v>874</v>
      </c>
      <c r="D278" s="336" t="s">
        <v>879</v>
      </c>
      <c r="E278" s="336" t="s">
        <v>876</v>
      </c>
      <c r="F278" s="336" t="s">
        <v>877</v>
      </c>
    </row>
    <row r="279" spans="1:6" ht="24" customHeight="1">
      <c r="A279" s="336" t="s">
        <v>587</v>
      </c>
      <c r="B279" s="336" t="s">
        <v>873</v>
      </c>
      <c r="C279" s="336" t="s">
        <v>874</v>
      </c>
      <c r="D279" s="336" t="s">
        <v>880</v>
      </c>
      <c r="E279" s="336" t="s">
        <v>876</v>
      </c>
      <c r="F279" s="336" t="s">
        <v>877</v>
      </c>
    </row>
    <row r="280" spans="1:6" ht="24" customHeight="1">
      <c r="A280" s="336" t="s">
        <v>587</v>
      </c>
      <c r="B280" s="336" t="s">
        <v>873</v>
      </c>
      <c r="C280" s="336" t="s">
        <v>881</v>
      </c>
      <c r="D280" s="336" t="s">
        <v>882</v>
      </c>
      <c r="E280" s="336" t="s">
        <v>876</v>
      </c>
      <c r="F280" s="336" t="s">
        <v>883</v>
      </c>
    </row>
    <row r="281" spans="1:6" ht="24" customHeight="1">
      <c r="A281" s="336" t="s">
        <v>587</v>
      </c>
      <c r="B281" s="336" t="s">
        <v>873</v>
      </c>
      <c r="C281" s="336" t="s">
        <v>881</v>
      </c>
      <c r="D281" s="336" t="s">
        <v>884</v>
      </c>
      <c r="E281" s="336" t="s">
        <v>876</v>
      </c>
      <c r="F281" s="336" t="s">
        <v>883</v>
      </c>
    </row>
    <row r="282" spans="1:6" ht="24" customHeight="1">
      <c r="A282" s="336" t="s">
        <v>587</v>
      </c>
      <c r="B282" s="336" t="s">
        <v>873</v>
      </c>
      <c r="C282" s="336" t="s">
        <v>881</v>
      </c>
      <c r="D282" s="336" t="s">
        <v>885</v>
      </c>
      <c r="E282" s="336" t="s">
        <v>876</v>
      </c>
      <c r="F282" s="336" t="s">
        <v>883</v>
      </c>
    </row>
    <row r="283" spans="1:6" ht="24" customHeight="1">
      <c r="A283" s="336" t="s">
        <v>587</v>
      </c>
      <c r="B283" s="336" t="s">
        <v>873</v>
      </c>
      <c r="C283" s="336" t="s">
        <v>881</v>
      </c>
      <c r="D283" s="336" t="s">
        <v>886</v>
      </c>
      <c r="E283" s="336" t="s">
        <v>876</v>
      </c>
      <c r="F283" s="336" t="s">
        <v>883</v>
      </c>
    </row>
    <row r="284" spans="1:6" ht="24" customHeight="1">
      <c r="A284" s="336" t="s">
        <v>587</v>
      </c>
      <c r="B284" s="336" t="s">
        <v>873</v>
      </c>
      <c r="C284" s="336" t="s">
        <v>881</v>
      </c>
      <c r="D284" s="336" t="s">
        <v>887</v>
      </c>
      <c r="E284" s="336" t="s">
        <v>876</v>
      </c>
      <c r="F284" s="336" t="s">
        <v>883</v>
      </c>
    </row>
    <row r="285" spans="1:6" ht="24" customHeight="1">
      <c r="A285" s="336" t="s">
        <v>587</v>
      </c>
      <c r="B285" s="336" t="s">
        <v>873</v>
      </c>
      <c r="C285" s="336" t="s">
        <v>881</v>
      </c>
      <c r="D285" s="336" t="s">
        <v>888</v>
      </c>
      <c r="E285" s="336" t="s">
        <v>876</v>
      </c>
      <c r="F285" s="336" t="s">
        <v>883</v>
      </c>
    </row>
    <row r="286" spans="1:6" ht="24" customHeight="1">
      <c r="A286" s="336" t="s">
        <v>587</v>
      </c>
      <c r="B286" s="336" t="s">
        <v>873</v>
      </c>
      <c r="C286" s="336" t="s">
        <v>881</v>
      </c>
      <c r="D286" s="336" t="s">
        <v>889</v>
      </c>
      <c r="E286" s="336" t="s">
        <v>876</v>
      </c>
      <c r="F286" s="336" t="s">
        <v>883</v>
      </c>
    </row>
    <row r="287" spans="1:6" ht="24" customHeight="1">
      <c r="A287" s="336" t="s">
        <v>587</v>
      </c>
      <c r="B287" s="336" t="s">
        <v>873</v>
      </c>
      <c r="C287" s="336" t="s">
        <v>881</v>
      </c>
      <c r="D287" s="336" t="s">
        <v>890</v>
      </c>
      <c r="E287" s="336" t="s">
        <v>876</v>
      </c>
      <c r="F287" s="336" t="s">
        <v>883</v>
      </c>
    </row>
    <row r="288" spans="1:6" ht="24" customHeight="1">
      <c r="A288" s="336" t="s">
        <v>587</v>
      </c>
      <c r="B288" s="336" t="s">
        <v>873</v>
      </c>
      <c r="C288" s="336" t="s">
        <v>881</v>
      </c>
      <c r="D288" s="336" t="s">
        <v>891</v>
      </c>
      <c r="E288" s="336" t="s">
        <v>876</v>
      </c>
      <c r="F288" s="336" t="s">
        <v>883</v>
      </c>
    </row>
    <row r="289" spans="1:6" ht="24" customHeight="1">
      <c r="A289" s="336" t="s">
        <v>587</v>
      </c>
      <c r="B289" s="336" t="s">
        <v>873</v>
      </c>
      <c r="C289" s="336" t="s">
        <v>881</v>
      </c>
      <c r="D289" s="336" t="s">
        <v>892</v>
      </c>
      <c r="E289" s="336" t="s">
        <v>876</v>
      </c>
      <c r="F289" s="336" t="s">
        <v>883</v>
      </c>
    </row>
    <row r="290" spans="1:6" ht="24" customHeight="1">
      <c r="A290" s="336" t="s">
        <v>587</v>
      </c>
      <c r="B290" s="336" t="s">
        <v>873</v>
      </c>
      <c r="C290" s="336" t="s">
        <v>881</v>
      </c>
      <c r="D290" s="336" t="s">
        <v>893</v>
      </c>
      <c r="E290" s="336" t="s">
        <v>876</v>
      </c>
      <c r="F290" s="336" t="s">
        <v>883</v>
      </c>
    </row>
    <row r="291" spans="1:6" ht="24" customHeight="1">
      <c r="A291" s="336" t="s">
        <v>587</v>
      </c>
      <c r="B291" s="336" t="s">
        <v>873</v>
      </c>
      <c r="C291" s="336" t="s">
        <v>881</v>
      </c>
      <c r="D291" s="336" t="s">
        <v>894</v>
      </c>
      <c r="E291" s="336" t="s">
        <v>876</v>
      </c>
      <c r="F291" s="336" t="s">
        <v>883</v>
      </c>
    </row>
    <row r="292" spans="1:6" ht="24" customHeight="1">
      <c r="A292" s="336" t="s">
        <v>587</v>
      </c>
      <c r="B292" s="336" t="s">
        <v>873</v>
      </c>
      <c r="C292" s="336" t="s">
        <v>881</v>
      </c>
      <c r="D292" s="336" t="s">
        <v>895</v>
      </c>
      <c r="E292" s="336" t="s">
        <v>876</v>
      </c>
      <c r="F292" s="336" t="s">
        <v>883</v>
      </c>
    </row>
    <row r="293" spans="1:6" ht="24" customHeight="1">
      <c r="A293" s="336" t="s">
        <v>587</v>
      </c>
      <c r="B293" s="336" t="s">
        <v>873</v>
      </c>
      <c r="C293" s="336" t="s">
        <v>881</v>
      </c>
      <c r="D293" s="336" t="s">
        <v>896</v>
      </c>
      <c r="E293" s="336" t="s">
        <v>876</v>
      </c>
      <c r="F293" s="336" t="s">
        <v>883</v>
      </c>
    </row>
    <row r="294" spans="1:6" ht="24" customHeight="1">
      <c r="A294" s="336" t="s">
        <v>587</v>
      </c>
      <c r="B294" s="336" t="s">
        <v>873</v>
      </c>
      <c r="C294" s="336" t="s">
        <v>881</v>
      </c>
      <c r="D294" s="336" t="s">
        <v>897</v>
      </c>
      <c r="E294" s="336" t="s">
        <v>876</v>
      </c>
      <c r="F294" s="336" t="s">
        <v>883</v>
      </c>
    </row>
    <row r="295" spans="1:6" ht="24" customHeight="1">
      <c r="A295" s="336" t="s">
        <v>587</v>
      </c>
      <c r="B295" s="336" t="s">
        <v>873</v>
      </c>
      <c r="C295" s="336" t="s">
        <v>881</v>
      </c>
      <c r="D295" s="336" t="s">
        <v>898</v>
      </c>
      <c r="E295" s="336" t="s">
        <v>876</v>
      </c>
      <c r="F295" s="336" t="s">
        <v>883</v>
      </c>
    </row>
    <row r="296" spans="1:6" ht="24" customHeight="1">
      <c r="A296" s="336" t="s">
        <v>587</v>
      </c>
      <c r="B296" s="336" t="s">
        <v>873</v>
      </c>
      <c r="C296" s="336" t="s">
        <v>881</v>
      </c>
      <c r="D296" s="336" t="s">
        <v>899</v>
      </c>
      <c r="E296" s="336" t="s">
        <v>876</v>
      </c>
      <c r="F296" s="336" t="s">
        <v>883</v>
      </c>
    </row>
    <row r="297" spans="1:6" ht="24" customHeight="1">
      <c r="A297" s="336" t="s">
        <v>587</v>
      </c>
      <c r="B297" s="336" t="s">
        <v>873</v>
      </c>
      <c r="C297" s="336" t="s">
        <v>881</v>
      </c>
      <c r="D297" s="336" t="s">
        <v>900</v>
      </c>
      <c r="E297" s="336" t="s">
        <v>876</v>
      </c>
      <c r="F297" s="336" t="s">
        <v>883</v>
      </c>
    </row>
    <row r="298" spans="1:6" ht="24" customHeight="1">
      <c r="A298" s="336" t="s">
        <v>587</v>
      </c>
      <c r="B298" s="336" t="s">
        <v>873</v>
      </c>
      <c r="C298" s="336" t="s">
        <v>881</v>
      </c>
      <c r="D298" s="336" t="s">
        <v>901</v>
      </c>
      <c r="E298" s="336" t="s">
        <v>876</v>
      </c>
      <c r="F298" s="336" t="s">
        <v>883</v>
      </c>
    </row>
    <row r="299" spans="1:6" ht="24" customHeight="1">
      <c r="A299" s="336" t="s">
        <v>587</v>
      </c>
      <c r="B299" s="336" t="s">
        <v>873</v>
      </c>
      <c r="C299" s="336" t="s">
        <v>881</v>
      </c>
      <c r="D299" s="336" t="s">
        <v>902</v>
      </c>
      <c r="E299" s="336" t="s">
        <v>876</v>
      </c>
      <c r="F299" s="336" t="s">
        <v>883</v>
      </c>
    </row>
    <row r="300" spans="1:6" ht="24" customHeight="1">
      <c r="A300" s="336" t="s">
        <v>587</v>
      </c>
      <c r="B300" s="336" t="s">
        <v>873</v>
      </c>
      <c r="C300" s="336" t="s">
        <v>903</v>
      </c>
      <c r="D300" s="336" t="s">
        <v>904</v>
      </c>
      <c r="E300" s="336" t="s">
        <v>876</v>
      </c>
      <c r="F300" s="336" t="s">
        <v>905</v>
      </c>
    </row>
    <row r="301" spans="1:6" ht="24" customHeight="1">
      <c r="A301" s="336" t="s">
        <v>587</v>
      </c>
      <c r="B301" s="336" t="s">
        <v>873</v>
      </c>
      <c r="C301" s="336" t="s">
        <v>903</v>
      </c>
      <c r="D301" s="336" t="s">
        <v>906</v>
      </c>
      <c r="E301" s="336" t="s">
        <v>876</v>
      </c>
      <c r="F301" s="336" t="s">
        <v>905</v>
      </c>
    </row>
    <row r="302" spans="1:6" ht="24" customHeight="1">
      <c r="A302" s="336" t="s">
        <v>587</v>
      </c>
      <c r="B302" s="336" t="s">
        <v>873</v>
      </c>
      <c r="C302" s="336" t="s">
        <v>903</v>
      </c>
      <c r="D302" s="336" t="s">
        <v>907</v>
      </c>
      <c r="E302" s="336" t="s">
        <v>876</v>
      </c>
      <c r="F302" s="336" t="s">
        <v>905</v>
      </c>
    </row>
    <row r="303" spans="1:6" ht="24" customHeight="1">
      <c r="A303" s="336" t="s">
        <v>587</v>
      </c>
      <c r="B303" s="336" t="s">
        <v>873</v>
      </c>
      <c r="C303" s="336" t="s">
        <v>903</v>
      </c>
      <c r="D303" s="336" t="s">
        <v>908</v>
      </c>
      <c r="E303" s="336" t="s">
        <v>876</v>
      </c>
      <c r="F303" s="336" t="s">
        <v>905</v>
      </c>
    </row>
    <row r="304" spans="1:6" ht="24" customHeight="1">
      <c r="A304" s="336" t="s">
        <v>587</v>
      </c>
      <c r="B304" s="336" t="s">
        <v>873</v>
      </c>
      <c r="C304" s="336" t="s">
        <v>903</v>
      </c>
      <c r="D304" s="336" t="s">
        <v>909</v>
      </c>
      <c r="E304" s="336" t="s">
        <v>876</v>
      </c>
      <c r="F304" s="336" t="s">
        <v>905</v>
      </c>
    </row>
    <row r="305" spans="1:6" ht="24" customHeight="1">
      <c r="A305" s="336" t="s">
        <v>587</v>
      </c>
      <c r="B305" s="336" t="s">
        <v>873</v>
      </c>
      <c r="C305" s="336" t="s">
        <v>910</v>
      </c>
      <c r="D305" s="336" t="s">
        <v>911</v>
      </c>
      <c r="E305" s="336" t="s">
        <v>876</v>
      </c>
      <c r="F305" s="336" t="s">
        <v>912</v>
      </c>
    </row>
    <row r="306" spans="1:6" ht="24" customHeight="1">
      <c r="A306" s="336" t="s">
        <v>587</v>
      </c>
      <c r="B306" s="336" t="s">
        <v>873</v>
      </c>
      <c r="C306" s="336" t="s">
        <v>910</v>
      </c>
      <c r="D306" s="336" t="s">
        <v>913</v>
      </c>
      <c r="E306" s="336" t="s">
        <v>876</v>
      </c>
      <c r="F306" s="336" t="s">
        <v>912</v>
      </c>
    </row>
    <row r="307" spans="1:6" ht="24" customHeight="1">
      <c r="A307" s="336" t="s">
        <v>587</v>
      </c>
      <c r="B307" s="336" t="s">
        <v>873</v>
      </c>
      <c r="C307" s="336" t="s">
        <v>914</v>
      </c>
      <c r="D307" s="336" t="s">
        <v>915</v>
      </c>
      <c r="E307" s="336" t="s">
        <v>876</v>
      </c>
      <c r="F307" s="336" t="s">
        <v>916</v>
      </c>
    </row>
    <row r="308" spans="1:6" ht="24" customHeight="1">
      <c r="A308" s="336" t="s">
        <v>587</v>
      </c>
      <c r="B308" s="336" t="s">
        <v>873</v>
      </c>
      <c r="C308" s="336" t="s">
        <v>914</v>
      </c>
      <c r="D308" s="336" t="s">
        <v>917</v>
      </c>
      <c r="E308" s="336" t="s">
        <v>876</v>
      </c>
      <c r="F308" s="336" t="s">
        <v>916</v>
      </c>
    </row>
    <row r="309" spans="1:6" ht="24" customHeight="1">
      <c r="A309" s="336" t="s">
        <v>587</v>
      </c>
      <c r="B309" s="336" t="s">
        <v>873</v>
      </c>
      <c r="C309" s="336" t="s">
        <v>914</v>
      </c>
      <c r="D309" s="336" t="s">
        <v>918</v>
      </c>
      <c r="E309" s="336" t="s">
        <v>876</v>
      </c>
      <c r="F309" s="336" t="s">
        <v>916</v>
      </c>
    </row>
    <row r="310" spans="1:6" ht="24" customHeight="1">
      <c r="A310" s="336" t="s">
        <v>587</v>
      </c>
      <c r="B310" s="336" t="s">
        <v>873</v>
      </c>
      <c r="C310" s="336" t="s">
        <v>914</v>
      </c>
      <c r="D310" s="336" t="s">
        <v>919</v>
      </c>
      <c r="E310" s="336" t="s">
        <v>876</v>
      </c>
      <c r="F310" s="336" t="s">
        <v>916</v>
      </c>
    </row>
    <row r="311" spans="1:6" ht="24" customHeight="1">
      <c r="A311" s="336" t="s">
        <v>587</v>
      </c>
      <c r="B311" s="336" t="s">
        <v>873</v>
      </c>
      <c r="C311" s="336" t="s">
        <v>914</v>
      </c>
      <c r="D311" s="336" t="s">
        <v>920</v>
      </c>
      <c r="E311" s="336" t="s">
        <v>876</v>
      </c>
      <c r="F311" s="336" t="s">
        <v>916</v>
      </c>
    </row>
    <row r="312" spans="1:6" ht="24" customHeight="1">
      <c r="A312" s="336" t="s">
        <v>587</v>
      </c>
      <c r="B312" s="336" t="s">
        <v>873</v>
      </c>
      <c r="C312" s="336" t="s">
        <v>914</v>
      </c>
      <c r="D312" s="336" t="s">
        <v>921</v>
      </c>
      <c r="E312" s="336" t="s">
        <v>876</v>
      </c>
      <c r="F312" s="336" t="s">
        <v>916</v>
      </c>
    </row>
    <row r="313" spans="1:6" ht="24" customHeight="1">
      <c r="A313" s="336" t="s">
        <v>587</v>
      </c>
      <c r="B313" s="336" t="s">
        <v>873</v>
      </c>
      <c r="C313" s="336" t="s">
        <v>914</v>
      </c>
      <c r="D313" s="336" t="s">
        <v>922</v>
      </c>
      <c r="E313" s="336" t="s">
        <v>876</v>
      </c>
      <c r="F313" s="336" t="s">
        <v>916</v>
      </c>
    </row>
    <row r="314" spans="1:6" ht="24" customHeight="1">
      <c r="A314" s="336" t="s">
        <v>587</v>
      </c>
      <c r="B314" s="336" t="s">
        <v>873</v>
      </c>
      <c r="C314" s="336" t="s">
        <v>914</v>
      </c>
      <c r="D314" s="336" t="s">
        <v>923</v>
      </c>
      <c r="E314" s="336" t="s">
        <v>876</v>
      </c>
      <c r="F314" s="336" t="s">
        <v>916</v>
      </c>
    </row>
    <row r="315" spans="1:6" ht="24" customHeight="1">
      <c r="A315" s="336" t="s">
        <v>587</v>
      </c>
      <c r="B315" s="336" t="s">
        <v>873</v>
      </c>
      <c r="C315" s="336" t="s">
        <v>924</v>
      </c>
      <c r="D315" s="336" t="s">
        <v>925</v>
      </c>
      <c r="E315" s="336" t="s">
        <v>876</v>
      </c>
      <c r="F315" s="336" t="s">
        <v>926</v>
      </c>
    </row>
    <row r="316" spans="1:6" ht="24" customHeight="1">
      <c r="A316" s="336" t="s">
        <v>587</v>
      </c>
      <c r="B316" s="336" t="s">
        <v>873</v>
      </c>
      <c r="C316" s="336" t="s">
        <v>924</v>
      </c>
      <c r="D316" s="336" t="s">
        <v>927</v>
      </c>
      <c r="E316" s="336" t="s">
        <v>876</v>
      </c>
      <c r="F316" s="336" t="s">
        <v>926</v>
      </c>
    </row>
    <row r="317" spans="1:6" ht="24" customHeight="1">
      <c r="A317" s="336" t="s">
        <v>587</v>
      </c>
      <c r="B317" s="336" t="s">
        <v>873</v>
      </c>
      <c r="C317" s="336" t="s">
        <v>928</v>
      </c>
      <c r="D317" s="336" t="s">
        <v>929</v>
      </c>
      <c r="E317" s="336" t="s">
        <v>876</v>
      </c>
      <c r="F317" s="336" t="s">
        <v>930</v>
      </c>
    </row>
    <row r="318" spans="1:6" ht="24" customHeight="1">
      <c r="A318" s="336" t="s">
        <v>587</v>
      </c>
      <c r="B318" s="336" t="s">
        <v>873</v>
      </c>
      <c r="C318" s="336" t="s">
        <v>928</v>
      </c>
      <c r="D318" s="336" t="s">
        <v>931</v>
      </c>
      <c r="E318" s="336" t="s">
        <v>876</v>
      </c>
      <c r="F318" s="336" t="s">
        <v>930</v>
      </c>
    </row>
    <row r="319" spans="1:6" ht="24" customHeight="1">
      <c r="A319" s="336" t="s">
        <v>587</v>
      </c>
      <c r="B319" s="336" t="s">
        <v>873</v>
      </c>
      <c r="C319" s="336" t="s">
        <v>928</v>
      </c>
      <c r="D319" s="336" t="s">
        <v>932</v>
      </c>
      <c r="E319" s="336" t="s">
        <v>876</v>
      </c>
      <c r="F319" s="336" t="s">
        <v>930</v>
      </c>
    </row>
    <row r="320" spans="1:6" ht="24" customHeight="1">
      <c r="A320" s="336" t="s">
        <v>587</v>
      </c>
      <c r="B320" s="336" t="s">
        <v>873</v>
      </c>
      <c r="C320" s="336" t="s">
        <v>928</v>
      </c>
      <c r="D320" s="336" t="s">
        <v>933</v>
      </c>
      <c r="E320" s="336" t="s">
        <v>876</v>
      </c>
      <c r="F320" s="336" t="s">
        <v>930</v>
      </c>
    </row>
    <row r="321" spans="1:6" ht="24" customHeight="1">
      <c r="A321" s="336" t="s">
        <v>587</v>
      </c>
      <c r="B321" s="336" t="s">
        <v>873</v>
      </c>
      <c r="C321" s="336" t="s">
        <v>928</v>
      </c>
      <c r="D321" s="336" t="s">
        <v>934</v>
      </c>
      <c r="E321" s="336" t="s">
        <v>876</v>
      </c>
      <c r="F321" s="336" t="s">
        <v>930</v>
      </c>
    </row>
    <row r="322" spans="1:6" ht="24" customHeight="1">
      <c r="A322" s="336" t="s">
        <v>587</v>
      </c>
      <c r="B322" s="336" t="s">
        <v>873</v>
      </c>
      <c r="C322" s="336" t="s">
        <v>935</v>
      </c>
      <c r="D322" s="336" t="s">
        <v>472</v>
      </c>
      <c r="E322" s="336" t="s">
        <v>876</v>
      </c>
      <c r="F322" s="336" t="s">
        <v>936</v>
      </c>
    </row>
    <row r="323" spans="1:6" ht="24" customHeight="1">
      <c r="A323" s="336" t="s">
        <v>587</v>
      </c>
      <c r="B323" s="336" t="s">
        <v>873</v>
      </c>
      <c r="C323" s="336" t="s">
        <v>935</v>
      </c>
      <c r="D323" s="336" t="s">
        <v>477</v>
      </c>
      <c r="E323" s="336" t="s">
        <v>876</v>
      </c>
      <c r="F323" s="336" t="s">
        <v>936</v>
      </c>
    </row>
    <row r="324" spans="1:6" ht="24" customHeight="1">
      <c r="A324" s="336" t="s">
        <v>587</v>
      </c>
      <c r="B324" s="336" t="s">
        <v>873</v>
      </c>
      <c r="C324" s="336" t="s">
        <v>935</v>
      </c>
      <c r="D324" s="336" t="s">
        <v>482</v>
      </c>
      <c r="E324" s="336" t="s">
        <v>876</v>
      </c>
      <c r="F324" s="336" t="s">
        <v>936</v>
      </c>
    </row>
    <row r="325" spans="1:6" ht="24" customHeight="1">
      <c r="A325" s="336" t="s">
        <v>587</v>
      </c>
      <c r="B325" s="336" t="s">
        <v>873</v>
      </c>
      <c r="C325" s="336" t="s">
        <v>937</v>
      </c>
      <c r="D325" s="336" t="s">
        <v>536</v>
      </c>
      <c r="E325" s="336" t="s">
        <v>876</v>
      </c>
      <c r="F325" s="336" t="s">
        <v>938</v>
      </c>
    </row>
    <row r="326" spans="1:6" ht="24" customHeight="1">
      <c r="A326" s="336" t="s">
        <v>587</v>
      </c>
      <c r="B326" s="336" t="s">
        <v>873</v>
      </c>
      <c r="C326" s="336" t="s">
        <v>937</v>
      </c>
      <c r="D326" s="336" t="s">
        <v>539</v>
      </c>
      <c r="E326" s="336" t="s">
        <v>876</v>
      </c>
      <c r="F326" s="336" t="s">
        <v>938</v>
      </c>
    </row>
    <row r="327" spans="1:6" ht="24" customHeight="1">
      <c r="A327" s="336" t="s">
        <v>587</v>
      </c>
      <c r="B327" s="336" t="s">
        <v>873</v>
      </c>
      <c r="C327" s="336" t="s">
        <v>937</v>
      </c>
      <c r="D327" s="336" t="s">
        <v>542</v>
      </c>
      <c r="E327" s="336" t="s">
        <v>876</v>
      </c>
      <c r="F327" s="336" t="s">
        <v>938</v>
      </c>
    </row>
    <row r="328" spans="1:6" ht="24" customHeight="1">
      <c r="A328" s="336" t="s">
        <v>587</v>
      </c>
      <c r="B328" s="336" t="s">
        <v>873</v>
      </c>
      <c r="C328" s="336" t="s">
        <v>939</v>
      </c>
      <c r="D328" s="336" t="s">
        <v>940</v>
      </c>
      <c r="E328" s="336" t="s">
        <v>876</v>
      </c>
      <c r="F328" s="336" t="s">
        <v>941</v>
      </c>
    </row>
    <row r="329" spans="1:6" ht="24" customHeight="1">
      <c r="A329" s="336" t="s">
        <v>587</v>
      </c>
      <c r="B329" s="336" t="s">
        <v>873</v>
      </c>
      <c r="C329" s="336" t="s">
        <v>939</v>
      </c>
      <c r="D329" s="336" t="s">
        <v>942</v>
      </c>
      <c r="E329" s="336" t="s">
        <v>876</v>
      </c>
      <c r="F329" s="336" t="s">
        <v>941</v>
      </c>
    </row>
    <row r="330" spans="1:6" ht="24" customHeight="1">
      <c r="A330" s="336" t="s">
        <v>587</v>
      </c>
      <c r="B330" s="336" t="s">
        <v>873</v>
      </c>
      <c r="C330" s="336" t="s">
        <v>939</v>
      </c>
      <c r="D330" s="336" t="s">
        <v>943</v>
      </c>
      <c r="E330" s="336" t="s">
        <v>876</v>
      </c>
      <c r="F330" s="336" t="s">
        <v>941</v>
      </c>
    </row>
    <row r="331" spans="1:6" ht="24" customHeight="1">
      <c r="A331" s="336" t="s">
        <v>587</v>
      </c>
      <c r="B331" s="336" t="s">
        <v>873</v>
      </c>
      <c r="C331" s="336" t="s">
        <v>944</v>
      </c>
      <c r="D331" s="336" t="s">
        <v>945</v>
      </c>
      <c r="E331" s="336" t="s">
        <v>876</v>
      </c>
      <c r="F331" s="336" t="s">
        <v>946</v>
      </c>
    </row>
    <row r="332" spans="1:6" ht="24" customHeight="1">
      <c r="A332" s="336" t="s">
        <v>587</v>
      </c>
      <c r="B332" s="336" t="s">
        <v>873</v>
      </c>
      <c r="C332" s="336" t="s">
        <v>944</v>
      </c>
      <c r="D332" s="336" t="s">
        <v>947</v>
      </c>
      <c r="E332" s="336" t="s">
        <v>876</v>
      </c>
      <c r="F332" s="336" t="s">
        <v>946</v>
      </c>
    </row>
    <row r="333" spans="1:6" ht="24" customHeight="1">
      <c r="A333" s="336" t="s">
        <v>587</v>
      </c>
      <c r="B333" s="336" t="s">
        <v>873</v>
      </c>
      <c r="C333" s="336" t="s">
        <v>944</v>
      </c>
      <c r="D333" s="336" t="s">
        <v>948</v>
      </c>
      <c r="E333" s="336" t="s">
        <v>876</v>
      </c>
      <c r="F333" s="336" t="s">
        <v>946</v>
      </c>
    </row>
    <row r="334" spans="1:6" ht="24" customHeight="1">
      <c r="A334" s="336" t="s">
        <v>587</v>
      </c>
      <c r="B334" s="336" t="s">
        <v>873</v>
      </c>
      <c r="C334" s="336" t="s">
        <v>949</v>
      </c>
      <c r="D334" s="336" t="s">
        <v>950</v>
      </c>
      <c r="E334" s="336" t="s">
        <v>876</v>
      </c>
      <c r="F334" s="336" t="s">
        <v>951</v>
      </c>
    </row>
    <row r="335" spans="1:6" ht="24" customHeight="1">
      <c r="A335" s="336" t="s">
        <v>587</v>
      </c>
      <c r="B335" s="336" t="s">
        <v>873</v>
      </c>
      <c r="C335" s="336" t="s">
        <v>949</v>
      </c>
      <c r="D335" s="336" t="s">
        <v>952</v>
      </c>
      <c r="E335" s="336" t="s">
        <v>876</v>
      </c>
      <c r="F335" s="336" t="s">
        <v>951</v>
      </c>
    </row>
    <row r="336" spans="1:6" ht="24" customHeight="1">
      <c r="A336" s="336" t="s">
        <v>587</v>
      </c>
      <c r="B336" s="336" t="s">
        <v>873</v>
      </c>
      <c r="C336" s="336" t="s">
        <v>949</v>
      </c>
      <c r="D336" s="336" t="s">
        <v>953</v>
      </c>
      <c r="E336" s="336" t="s">
        <v>876</v>
      </c>
      <c r="F336" s="336" t="s">
        <v>951</v>
      </c>
    </row>
    <row r="337" spans="1:6" ht="24" customHeight="1">
      <c r="A337" s="336" t="s">
        <v>587</v>
      </c>
      <c r="B337" s="336" t="s">
        <v>873</v>
      </c>
      <c r="C337" s="336" t="s">
        <v>949</v>
      </c>
      <c r="D337" s="336" t="s">
        <v>954</v>
      </c>
      <c r="E337" s="336" t="s">
        <v>876</v>
      </c>
      <c r="F337" s="336" t="s">
        <v>951</v>
      </c>
    </row>
    <row r="338" spans="1:6" ht="24" customHeight="1">
      <c r="A338" s="336" t="s">
        <v>587</v>
      </c>
      <c r="B338" s="336" t="s">
        <v>873</v>
      </c>
      <c r="C338" s="336" t="s">
        <v>949</v>
      </c>
      <c r="D338" s="336" t="s">
        <v>955</v>
      </c>
      <c r="E338" s="336" t="s">
        <v>876</v>
      </c>
      <c r="F338" s="336" t="s">
        <v>951</v>
      </c>
    </row>
    <row r="339" spans="1:6" ht="24" customHeight="1">
      <c r="A339" s="336" t="s">
        <v>587</v>
      </c>
      <c r="B339" s="336" t="s">
        <v>873</v>
      </c>
      <c r="C339" s="336" t="s">
        <v>949</v>
      </c>
      <c r="D339" s="336" t="s">
        <v>956</v>
      </c>
      <c r="E339" s="336" t="s">
        <v>876</v>
      </c>
      <c r="F339" s="336" t="s">
        <v>951</v>
      </c>
    </row>
    <row r="340" spans="1:6" ht="24" customHeight="1">
      <c r="A340" s="336" t="s">
        <v>587</v>
      </c>
      <c r="B340" s="336" t="s">
        <v>873</v>
      </c>
      <c r="C340" s="336" t="s">
        <v>949</v>
      </c>
      <c r="D340" s="336" t="s">
        <v>957</v>
      </c>
      <c r="E340" s="336" t="s">
        <v>876</v>
      </c>
      <c r="F340" s="336" t="s">
        <v>951</v>
      </c>
    </row>
    <row r="341" spans="1:6" ht="24" customHeight="1">
      <c r="A341" s="336" t="s">
        <v>587</v>
      </c>
      <c r="B341" s="336" t="s">
        <v>873</v>
      </c>
      <c r="C341" s="336" t="s">
        <v>958</v>
      </c>
      <c r="D341" s="336" t="s">
        <v>959</v>
      </c>
      <c r="E341" s="336" t="s">
        <v>876</v>
      </c>
      <c r="F341" s="336" t="s">
        <v>960</v>
      </c>
    </row>
    <row r="342" spans="1:6" ht="24" customHeight="1">
      <c r="A342" s="336" t="s">
        <v>587</v>
      </c>
      <c r="B342" s="336" t="s">
        <v>873</v>
      </c>
      <c r="C342" s="336" t="s">
        <v>958</v>
      </c>
      <c r="D342" s="336" t="s">
        <v>961</v>
      </c>
      <c r="E342" s="336" t="s">
        <v>876</v>
      </c>
      <c r="F342" s="336" t="s">
        <v>960</v>
      </c>
    </row>
    <row r="343" spans="1:6" ht="24" customHeight="1">
      <c r="A343" s="336" t="s">
        <v>587</v>
      </c>
      <c r="B343" s="336" t="s">
        <v>873</v>
      </c>
      <c r="C343" s="336" t="s">
        <v>962</v>
      </c>
      <c r="D343" s="336" t="s">
        <v>963</v>
      </c>
      <c r="E343" s="336" t="s">
        <v>876</v>
      </c>
      <c r="F343" s="336" t="s">
        <v>964</v>
      </c>
    </row>
    <row r="344" spans="1:6" ht="24" customHeight="1">
      <c r="A344" s="336" t="s">
        <v>587</v>
      </c>
      <c r="B344" s="336" t="s">
        <v>873</v>
      </c>
      <c r="C344" s="336" t="s">
        <v>962</v>
      </c>
      <c r="D344" s="336" t="s">
        <v>965</v>
      </c>
      <c r="E344" s="336" t="s">
        <v>876</v>
      </c>
      <c r="F344" s="336" t="s">
        <v>964</v>
      </c>
    </row>
    <row r="345" spans="1:6" ht="24" customHeight="1">
      <c r="A345" s="336" t="s">
        <v>587</v>
      </c>
      <c r="B345" s="336" t="s">
        <v>873</v>
      </c>
      <c r="C345" s="336" t="s">
        <v>962</v>
      </c>
      <c r="D345" s="336" t="s">
        <v>966</v>
      </c>
      <c r="E345" s="336" t="s">
        <v>876</v>
      </c>
      <c r="F345" s="336" t="s">
        <v>964</v>
      </c>
    </row>
    <row r="346" spans="1:6" ht="24" customHeight="1">
      <c r="A346" s="336" t="s">
        <v>587</v>
      </c>
      <c r="B346" s="336" t="s">
        <v>873</v>
      </c>
      <c r="C346" s="336" t="s">
        <v>962</v>
      </c>
      <c r="D346" s="336" t="s">
        <v>967</v>
      </c>
      <c r="E346" s="336" t="s">
        <v>876</v>
      </c>
      <c r="F346" s="336" t="s">
        <v>964</v>
      </c>
    </row>
    <row r="347" spans="1:6" ht="24" customHeight="1">
      <c r="A347" s="336" t="s">
        <v>587</v>
      </c>
      <c r="B347" s="336" t="s">
        <v>873</v>
      </c>
      <c r="C347" s="336" t="s">
        <v>962</v>
      </c>
      <c r="D347" s="336" t="s">
        <v>968</v>
      </c>
      <c r="E347" s="336" t="s">
        <v>876</v>
      </c>
      <c r="F347" s="336" t="s">
        <v>964</v>
      </c>
    </row>
    <row r="348" spans="1:6" ht="24" customHeight="1">
      <c r="A348" s="336" t="s">
        <v>587</v>
      </c>
      <c r="B348" s="336" t="s">
        <v>873</v>
      </c>
      <c r="C348" s="336" t="s">
        <v>969</v>
      </c>
      <c r="D348" s="336" t="s">
        <v>970</v>
      </c>
      <c r="E348" s="336" t="s">
        <v>876</v>
      </c>
      <c r="F348" s="336" t="s">
        <v>971</v>
      </c>
    </row>
    <row r="349" spans="1:6" ht="24" customHeight="1">
      <c r="A349" s="336" t="s">
        <v>587</v>
      </c>
      <c r="B349" s="336" t="s">
        <v>873</v>
      </c>
      <c r="C349" s="336" t="s">
        <v>969</v>
      </c>
      <c r="D349" s="336" t="s">
        <v>972</v>
      </c>
      <c r="E349" s="336" t="s">
        <v>876</v>
      </c>
      <c r="F349" s="336" t="s">
        <v>971</v>
      </c>
    </row>
    <row r="350" spans="1:6" ht="24" customHeight="1">
      <c r="A350" s="336" t="s">
        <v>587</v>
      </c>
      <c r="B350" s="336" t="s">
        <v>873</v>
      </c>
      <c r="C350" s="336" t="s">
        <v>969</v>
      </c>
      <c r="D350" s="336" t="s">
        <v>973</v>
      </c>
      <c r="E350" s="336" t="s">
        <v>876</v>
      </c>
      <c r="F350" s="336" t="s">
        <v>971</v>
      </c>
    </row>
    <row r="351" spans="1:6" ht="24" customHeight="1">
      <c r="A351" s="336" t="s">
        <v>587</v>
      </c>
      <c r="B351" s="336" t="s">
        <v>873</v>
      </c>
      <c r="C351" s="336" t="s">
        <v>969</v>
      </c>
      <c r="D351" s="336" t="s">
        <v>974</v>
      </c>
      <c r="E351" s="336" t="s">
        <v>876</v>
      </c>
      <c r="F351" s="336" t="s">
        <v>971</v>
      </c>
    </row>
    <row r="352" spans="1:6" ht="24" customHeight="1">
      <c r="A352" s="336" t="s">
        <v>587</v>
      </c>
      <c r="B352" s="336" t="s">
        <v>873</v>
      </c>
      <c r="C352" s="336" t="s">
        <v>969</v>
      </c>
      <c r="D352" s="336" t="s">
        <v>975</v>
      </c>
      <c r="E352" s="336" t="s">
        <v>876</v>
      </c>
      <c r="F352" s="336" t="s">
        <v>971</v>
      </c>
    </row>
    <row r="353" spans="1:6" ht="24" customHeight="1">
      <c r="A353" s="336" t="s">
        <v>587</v>
      </c>
      <c r="B353" s="336" t="s">
        <v>873</v>
      </c>
      <c r="C353" s="336" t="s">
        <v>969</v>
      </c>
      <c r="D353" s="336" t="s">
        <v>976</v>
      </c>
      <c r="E353" s="336" t="s">
        <v>876</v>
      </c>
      <c r="F353" s="336" t="s">
        <v>971</v>
      </c>
    </row>
    <row r="354" spans="1:6" ht="24" customHeight="1">
      <c r="A354" s="336" t="s">
        <v>587</v>
      </c>
      <c r="B354" s="336" t="s">
        <v>873</v>
      </c>
      <c r="C354" s="336" t="s">
        <v>977</v>
      </c>
      <c r="D354" s="336" t="s">
        <v>978</v>
      </c>
      <c r="E354" s="336" t="s">
        <v>876</v>
      </c>
      <c r="F354" s="336" t="s">
        <v>979</v>
      </c>
    </row>
    <row r="355" spans="1:6" ht="24" customHeight="1">
      <c r="A355" s="336" t="s">
        <v>587</v>
      </c>
      <c r="B355" s="336" t="s">
        <v>873</v>
      </c>
      <c r="C355" s="336" t="s">
        <v>977</v>
      </c>
      <c r="D355" s="336" t="s">
        <v>980</v>
      </c>
      <c r="E355" s="336" t="s">
        <v>876</v>
      </c>
      <c r="F355" s="336" t="s">
        <v>979</v>
      </c>
    </row>
    <row r="356" spans="1:6" ht="24" customHeight="1">
      <c r="A356" s="336" t="s">
        <v>587</v>
      </c>
      <c r="B356" s="336" t="s">
        <v>873</v>
      </c>
      <c r="C356" s="336" t="s">
        <v>977</v>
      </c>
      <c r="D356" s="336" t="s">
        <v>981</v>
      </c>
      <c r="E356" s="336" t="s">
        <v>876</v>
      </c>
      <c r="F356" s="336" t="s">
        <v>979</v>
      </c>
    </row>
    <row r="357" spans="1:6" ht="24" customHeight="1">
      <c r="A357" s="336" t="s">
        <v>587</v>
      </c>
      <c r="B357" s="336" t="s">
        <v>873</v>
      </c>
      <c r="C357" s="336" t="s">
        <v>977</v>
      </c>
      <c r="D357" s="336" t="s">
        <v>982</v>
      </c>
      <c r="E357" s="336" t="s">
        <v>876</v>
      </c>
      <c r="F357" s="336" t="s">
        <v>979</v>
      </c>
    </row>
    <row r="358" spans="1:6" ht="24" customHeight="1">
      <c r="A358" s="336" t="s">
        <v>587</v>
      </c>
      <c r="B358" s="336" t="s">
        <v>873</v>
      </c>
      <c r="C358" s="336" t="s">
        <v>977</v>
      </c>
      <c r="D358" s="336" t="s">
        <v>983</v>
      </c>
      <c r="E358" s="336" t="s">
        <v>876</v>
      </c>
      <c r="F358" s="336" t="s">
        <v>979</v>
      </c>
    </row>
    <row r="359" spans="1:6" ht="24" customHeight="1">
      <c r="A359" s="336" t="s">
        <v>587</v>
      </c>
      <c r="B359" s="336" t="s">
        <v>873</v>
      </c>
      <c r="C359" s="336" t="s">
        <v>984</v>
      </c>
      <c r="D359" s="336" t="s">
        <v>446</v>
      </c>
      <c r="E359" s="336" t="s">
        <v>876</v>
      </c>
      <c r="F359" s="336" t="s">
        <v>985</v>
      </c>
    </row>
    <row r="360" spans="1:6" ht="24" customHeight="1">
      <c r="A360" s="336" t="s">
        <v>587</v>
      </c>
      <c r="B360" s="336" t="s">
        <v>873</v>
      </c>
      <c r="C360" s="336" t="s">
        <v>984</v>
      </c>
      <c r="D360" s="336" t="s">
        <v>449</v>
      </c>
      <c r="E360" s="336" t="s">
        <v>876</v>
      </c>
      <c r="F360" s="336" t="s">
        <v>985</v>
      </c>
    </row>
    <row r="361" spans="1:6" ht="24" customHeight="1">
      <c r="A361" s="336" t="s">
        <v>587</v>
      </c>
      <c r="B361" s="336" t="s">
        <v>873</v>
      </c>
      <c r="C361" s="336" t="s">
        <v>984</v>
      </c>
      <c r="D361" s="336" t="s">
        <v>452</v>
      </c>
      <c r="E361" s="336" t="s">
        <v>876</v>
      </c>
      <c r="F361" s="336" t="s">
        <v>985</v>
      </c>
    </row>
    <row r="362" spans="1:6" ht="24" customHeight="1">
      <c r="A362" s="336" t="s">
        <v>587</v>
      </c>
      <c r="B362" s="336" t="s">
        <v>873</v>
      </c>
      <c r="C362" s="336" t="s">
        <v>984</v>
      </c>
      <c r="D362" s="336" t="s">
        <v>455</v>
      </c>
      <c r="E362" s="336" t="s">
        <v>876</v>
      </c>
      <c r="F362" s="336" t="s">
        <v>985</v>
      </c>
    </row>
    <row r="363" spans="1:6" ht="24" customHeight="1">
      <c r="A363" s="336" t="s">
        <v>587</v>
      </c>
      <c r="B363" s="336" t="s">
        <v>873</v>
      </c>
      <c r="C363" s="336" t="s">
        <v>984</v>
      </c>
      <c r="D363" s="336" t="s">
        <v>458</v>
      </c>
      <c r="E363" s="336" t="s">
        <v>876</v>
      </c>
      <c r="F363" s="336" t="s">
        <v>985</v>
      </c>
    </row>
    <row r="364" spans="1:6" ht="24" customHeight="1">
      <c r="A364" s="336" t="s">
        <v>587</v>
      </c>
      <c r="B364" s="336" t="s">
        <v>873</v>
      </c>
      <c r="C364" s="336" t="s">
        <v>984</v>
      </c>
      <c r="D364" s="336" t="s">
        <v>461</v>
      </c>
      <c r="E364" s="336" t="s">
        <v>876</v>
      </c>
      <c r="F364" s="336" t="s">
        <v>985</v>
      </c>
    </row>
    <row r="365" spans="1:6" ht="24" customHeight="1">
      <c r="A365" s="336" t="s">
        <v>587</v>
      </c>
      <c r="B365" s="336" t="s">
        <v>873</v>
      </c>
      <c r="C365" s="336" t="s">
        <v>984</v>
      </c>
      <c r="D365" s="336" t="s">
        <v>464</v>
      </c>
      <c r="E365" s="336" t="s">
        <v>876</v>
      </c>
      <c r="F365" s="336" t="s">
        <v>985</v>
      </c>
    </row>
    <row r="366" spans="1:6" ht="24" customHeight="1">
      <c r="A366" s="336" t="s">
        <v>587</v>
      </c>
      <c r="B366" s="336" t="s">
        <v>873</v>
      </c>
      <c r="C366" s="336" t="s">
        <v>984</v>
      </c>
      <c r="D366" s="336" t="s">
        <v>467</v>
      </c>
      <c r="E366" s="336" t="s">
        <v>876</v>
      </c>
      <c r="F366" s="336" t="s">
        <v>985</v>
      </c>
    </row>
    <row r="367" spans="1:6" ht="24" customHeight="1">
      <c r="A367" s="336" t="s">
        <v>587</v>
      </c>
      <c r="B367" s="336" t="s">
        <v>873</v>
      </c>
      <c r="C367" s="336" t="s">
        <v>986</v>
      </c>
      <c r="D367" s="336" t="s">
        <v>987</v>
      </c>
      <c r="E367" s="336" t="s">
        <v>876</v>
      </c>
      <c r="F367" s="336" t="s">
        <v>988</v>
      </c>
    </row>
    <row r="368" spans="1:6" ht="24" customHeight="1">
      <c r="A368" s="336" t="s">
        <v>587</v>
      </c>
      <c r="B368" s="336" t="s">
        <v>873</v>
      </c>
      <c r="C368" s="336" t="s">
        <v>986</v>
      </c>
      <c r="D368" s="336" t="s">
        <v>989</v>
      </c>
      <c r="E368" s="336" t="s">
        <v>876</v>
      </c>
      <c r="F368" s="336" t="s">
        <v>988</v>
      </c>
    </row>
    <row r="369" spans="1:6" ht="24" customHeight="1">
      <c r="A369" s="336" t="s">
        <v>587</v>
      </c>
      <c r="B369" s="336" t="s">
        <v>873</v>
      </c>
      <c r="C369" s="336" t="s">
        <v>986</v>
      </c>
      <c r="D369" s="336" t="s">
        <v>990</v>
      </c>
      <c r="E369" s="336" t="s">
        <v>876</v>
      </c>
      <c r="F369" s="336" t="s">
        <v>988</v>
      </c>
    </row>
    <row r="370" spans="1:6" ht="24" customHeight="1">
      <c r="A370" s="336" t="s">
        <v>587</v>
      </c>
      <c r="B370" s="336" t="s">
        <v>873</v>
      </c>
      <c r="C370" s="336" t="s">
        <v>986</v>
      </c>
      <c r="D370" s="336" t="s">
        <v>991</v>
      </c>
      <c r="E370" s="336" t="s">
        <v>876</v>
      </c>
      <c r="F370" s="336" t="s">
        <v>988</v>
      </c>
    </row>
    <row r="371" spans="1:6" ht="24" customHeight="1">
      <c r="A371" s="336" t="s">
        <v>587</v>
      </c>
      <c r="B371" s="336" t="s">
        <v>873</v>
      </c>
      <c r="C371" s="336" t="s">
        <v>986</v>
      </c>
      <c r="D371" s="336" t="s">
        <v>992</v>
      </c>
      <c r="E371" s="336" t="s">
        <v>876</v>
      </c>
      <c r="F371" s="336" t="s">
        <v>988</v>
      </c>
    </row>
    <row r="372" spans="1:6" ht="24" customHeight="1">
      <c r="A372" s="336" t="s">
        <v>587</v>
      </c>
      <c r="B372" s="336" t="s">
        <v>873</v>
      </c>
      <c r="C372" s="336" t="s">
        <v>986</v>
      </c>
      <c r="D372" s="336" t="s">
        <v>993</v>
      </c>
      <c r="E372" s="336" t="s">
        <v>876</v>
      </c>
      <c r="F372" s="336" t="s">
        <v>988</v>
      </c>
    </row>
    <row r="373" spans="1:6" ht="24" customHeight="1">
      <c r="A373" s="336" t="s">
        <v>587</v>
      </c>
      <c r="B373" s="336" t="s">
        <v>873</v>
      </c>
      <c r="C373" s="336" t="s">
        <v>986</v>
      </c>
      <c r="D373" s="336" t="s">
        <v>994</v>
      </c>
      <c r="E373" s="336" t="s">
        <v>876</v>
      </c>
      <c r="F373" s="336" t="s">
        <v>988</v>
      </c>
    </row>
    <row r="374" spans="1:6" ht="24" customHeight="1">
      <c r="A374" s="336" t="s">
        <v>587</v>
      </c>
      <c r="B374" s="336" t="s">
        <v>873</v>
      </c>
      <c r="C374" s="336" t="s">
        <v>986</v>
      </c>
      <c r="D374" s="336" t="s">
        <v>995</v>
      </c>
      <c r="E374" s="336" t="s">
        <v>876</v>
      </c>
      <c r="F374" s="336" t="s">
        <v>988</v>
      </c>
    </row>
    <row r="375" spans="1:6" ht="24" customHeight="1">
      <c r="A375" s="336" t="s">
        <v>587</v>
      </c>
      <c r="B375" s="336" t="s">
        <v>873</v>
      </c>
      <c r="C375" s="336" t="s">
        <v>986</v>
      </c>
      <c r="D375" s="336" t="s">
        <v>996</v>
      </c>
      <c r="E375" s="336" t="s">
        <v>876</v>
      </c>
      <c r="F375" s="336" t="s">
        <v>988</v>
      </c>
    </row>
    <row r="376" spans="1:6" ht="24" customHeight="1">
      <c r="A376" s="336" t="s">
        <v>587</v>
      </c>
      <c r="B376" s="336" t="s">
        <v>873</v>
      </c>
      <c r="C376" s="336" t="s">
        <v>986</v>
      </c>
      <c r="D376" s="336" t="s">
        <v>997</v>
      </c>
      <c r="E376" s="336" t="s">
        <v>876</v>
      </c>
      <c r="F376" s="336" t="s">
        <v>988</v>
      </c>
    </row>
    <row r="377" spans="1:6" ht="24" customHeight="1">
      <c r="A377" s="336" t="s">
        <v>587</v>
      </c>
      <c r="B377" s="336" t="s">
        <v>873</v>
      </c>
      <c r="C377" s="336" t="s">
        <v>986</v>
      </c>
      <c r="D377" s="336" t="s">
        <v>998</v>
      </c>
      <c r="E377" s="336" t="s">
        <v>876</v>
      </c>
      <c r="F377" s="336" t="s">
        <v>988</v>
      </c>
    </row>
    <row r="378" spans="1:6" ht="24" customHeight="1">
      <c r="A378" s="336" t="s">
        <v>587</v>
      </c>
      <c r="B378" s="336" t="s">
        <v>873</v>
      </c>
      <c r="C378" s="336" t="s">
        <v>986</v>
      </c>
      <c r="D378" s="336" t="s">
        <v>999</v>
      </c>
      <c r="E378" s="336" t="s">
        <v>876</v>
      </c>
      <c r="F378" s="336" t="s">
        <v>988</v>
      </c>
    </row>
    <row r="379" spans="1:6" ht="24" customHeight="1">
      <c r="A379" s="336" t="s">
        <v>587</v>
      </c>
      <c r="B379" s="336" t="s">
        <v>873</v>
      </c>
      <c r="C379" s="336" t="s">
        <v>986</v>
      </c>
      <c r="D379" s="336" t="s">
        <v>1000</v>
      </c>
      <c r="E379" s="336" t="s">
        <v>876</v>
      </c>
      <c r="F379" s="336" t="s">
        <v>988</v>
      </c>
    </row>
    <row r="380" spans="1:6" ht="24" customHeight="1">
      <c r="A380" s="336" t="s">
        <v>587</v>
      </c>
      <c r="B380" s="336" t="s">
        <v>873</v>
      </c>
      <c r="C380" s="336" t="s">
        <v>986</v>
      </c>
      <c r="D380" s="336" t="s">
        <v>1001</v>
      </c>
      <c r="E380" s="336" t="s">
        <v>876</v>
      </c>
      <c r="F380" s="336" t="s">
        <v>988</v>
      </c>
    </row>
    <row r="381" spans="1:6" ht="24" customHeight="1">
      <c r="A381" s="336" t="s">
        <v>587</v>
      </c>
      <c r="B381" s="336" t="s">
        <v>873</v>
      </c>
      <c r="C381" s="336" t="s">
        <v>986</v>
      </c>
      <c r="D381" s="336" t="s">
        <v>1002</v>
      </c>
      <c r="E381" s="336" t="s">
        <v>876</v>
      </c>
      <c r="F381" s="336" t="s">
        <v>988</v>
      </c>
    </row>
    <row r="382" spans="1:6" ht="24" customHeight="1">
      <c r="A382" s="336" t="s">
        <v>587</v>
      </c>
      <c r="B382" s="336" t="s">
        <v>873</v>
      </c>
      <c r="C382" s="336" t="s">
        <v>986</v>
      </c>
      <c r="D382" s="336" t="s">
        <v>1003</v>
      </c>
      <c r="E382" s="336" t="s">
        <v>876</v>
      </c>
      <c r="F382" s="336" t="s">
        <v>988</v>
      </c>
    </row>
    <row r="383" spans="1:6" ht="24" customHeight="1">
      <c r="A383" s="336" t="s">
        <v>587</v>
      </c>
      <c r="B383" s="336" t="s">
        <v>873</v>
      </c>
      <c r="C383" s="336" t="s">
        <v>986</v>
      </c>
      <c r="D383" s="336" t="s">
        <v>1004</v>
      </c>
      <c r="E383" s="336" t="s">
        <v>876</v>
      </c>
      <c r="F383" s="336" t="s">
        <v>988</v>
      </c>
    </row>
    <row r="384" spans="1:6" ht="24" customHeight="1">
      <c r="A384" s="336" t="s">
        <v>587</v>
      </c>
      <c r="B384" s="336" t="s">
        <v>873</v>
      </c>
      <c r="C384" s="336" t="s">
        <v>986</v>
      </c>
      <c r="D384" s="336" t="s">
        <v>1005</v>
      </c>
      <c r="E384" s="336" t="s">
        <v>876</v>
      </c>
      <c r="F384" s="336" t="s">
        <v>988</v>
      </c>
    </row>
    <row r="385" spans="1:6" ht="24" customHeight="1">
      <c r="A385" s="336" t="s">
        <v>587</v>
      </c>
      <c r="B385" s="336" t="s">
        <v>873</v>
      </c>
      <c r="C385" s="336" t="s">
        <v>986</v>
      </c>
      <c r="D385" s="336" t="s">
        <v>1006</v>
      </c>
      <c r="E385" s="336" t="s">
        <v>876</v>
      </c>
      <c r="F385" s="336" t="s">
        <v>988</v>
      </c>
    </row>
    <row r="386" spans="1:6" ht="24" customHeight="1">
      <c r="A386" s="336" t="s">
        <v>587</v>
      </c>
      <c r="B386" s="336" t="s">
        <v>873</v>
      </c>
      <c r="C386" s="336" t="s">
        <v>986</v>
      </c>
      <c r="D386" s="336" t="s">
        <v>1007</v>
      </c>
      <c r="E386" s="336" t="s">
        <v>876</v>
      </c>
      <c r="F386" s="336" t="s">
        <v>988</v>
      </c>
    </row>
    <row r="387" spans="1:6" ht="24" customHeight="1">
      <c r="A387" s="336" t="s">
        <v>587</v>
      </c>
      <c r="B387" s="336" t="s">
        <v>873</v>
      </c>
      <c r="C387" s="336" t="s">
        <v>986</v>
      </c>
      <c r="D387" s="336" t="s">
        <v>1008</v>
      </c>
      <c r="E387" s="336" t="s">
        <v>876</v>
      </c>
      <c r="F387" s="336" t="s">
        <v>988</v>
      </c>
    </row>
    <row r="388" spans="1:6" ht="24" customHeight="1">
      <c r="A388" s="336" t="s">
        <v>587</v>
      </c>
      <c r="B388" s="336" t="s">
        <v>873</v>
      </c>
      <c r="C388" s="336" t="s">
        <v>986</v>
      </c>
      <c r="D388" s="336" t="s">
        <v>1009</v>
      </c>
      <c r="E388" s="336" t="s">
        <v>876</v>
      </c>
      <c r="F388" s="336" t="s">
        <v>988</v>
      </c>
    </row>
    <row r="389" spans="1:6" ht="24" customHeight="1">
      <c r="A389" s="336" t="s">
        <v>587</v>
      </c>
      <c r="B389" s="336" t="s">
        <v>873</v>
      </c>
      <c r="C389" s="336" t="s">
        <v>986</v>
      </c>
      <c r="D389" s="336" t="s">
        <v>1010</v>
      </c>
      <c r="E389" s="336" t="s">
        <v>876</v>
      </c>
      <c r="F389" s="336" t="s">
        <v>988</v>
      </c>
    </row>
    <row r="390" spans="1:6" ht="24" customHeight="1">
      <c r="A390" s="336" t="s">
        <v>587</v>
      </c>
      <c r="B390" s="336" t="s">
        <v>873</v>
      </c>
      <c r="C390" s="336" t="s">
        <v>986</v>
      </c>
      <c r="D390" s="336" t="s">
        <v>1011</v>
      </c>
      <c r="E390" s="336" t="s">
        <v>876</v>
      </c>
      <c r="F390" s="336" t="s">
        <v>988</v>
      </c>
    </row>
    <row r="391" spans="1:6" ht="24" customHeight="1">
      <c r="A391" s="336" t="s">
        <v>587</v>
      </c>
      <c r="B391" s="336" t="s">
        <v>873</v>
      </c>
      <c r="C391" s="336" t="s">
        <v>986</v>
      </c>
      <c r="D391" s="336" t="s">
        <v>1012</v>
      </c>
      <c r="E391" s="336" t="s">
        <v>876</v>
      </c>
      <c r="F391" s="336" t="s">
        <v>988</v>
      </c>
    </row>
    <row r="392" spans="1:6" ht="24" customHeight="1">
      <c r="A392" s="336" t="s">
        <v>587</v>
      </c>
      <c r="B392" s="336" t="s">
        <v>873</v>
      </c>
      <c r="C392" s="336" t="s">
        <v>1013</v>
      </c>
      <c r="D392" s="336" t="s">
        <v>565</v>
      </c>
      <c r="E392" s="336" t="s">
        <v>876</v>
      </c>
      <c r="F392" s="336" t="s">
        <v>1014</v>
      </c>
    </row>
    <row r="393" spans="1:6" ht="24" customHeight="1">
      <c r="A393" s="336" t="s">
        <v>587</v>
      </c>
      <c r="B393" s="336" t="s">
        <v>873</v>
      </c>
      <c r="C393" s="336" t="s">
        <v>1013</v>
      </c>
      <c r="D393" s="336" t="s">
        <v>568</v>
      </c>
      <c r="E393" s="336" t="s">
        <v>876</v>
      </c>
      <c r="F393" s="336" t="s">
        <v>1014</v>
      </c>
    </row>
    <row r="394" spans="1:6" ht="24" customHeight="1">
      <c r="A394" s="336" t="s">
        <v>587</v>
      </c>
      <c r="B394" s="336" t="s">
        <v>873</v>
      </c>
      <c r="C394" s="336" t="s">
        <v>1015</v>
      </c>
      <c r="D394" s="336" t="s">
        <v>1016</v>
      </c>
      <c r="E394" s="336" t="s">
        <v>876</v>
      </c>
      <c r="F394" s="336" t="s">
        <v>1017</v>
      </c>
    </row>
    <row r="395" spans="1:6" ht="24" customHeight="1">
      <c r="A395" s="336" t="s">
        <v>587</v>
      </c>
      <c r="B395" s="336" t="s">
        <v>873</v>
      </c>
      <c r="C395" s="336" t="s">
        <v>1015</v>
      </c>
      <c r="D395" s="336" t="s">
        <v>1018</v>
      </c>
      <c r="E395" s="336" t="s">
        <v>876</v>
      </c>
      <c r="F395" s="336" t="s">
        <v>1017</v>
      </c>
    </row>
    <row r="396" spans="1:6" ht="24" customHeight="1">
      <c r="A396" s="336" t="s">
        <v>587</v>
      </c>
      <c r="B396" s="336" t="s">
        <v>873</v>
      </c>
      <c r="C396" s="336" t="s">
        <v>1015</v>
      </c>
      <c r="D396" s="336" t="s">
        <v>1019</v>
      </c>
      <c r="E396" s="336" t="s">
        <v>876</v>
      </c>
      <c r="F396" s="336" t="s">
        <v>1017</v>
      </c>
    </row>
    <row r="397" spans="1:6" ht="24" customHeight="1">
      <c r="A397" s="336" t="s">
        <v>587</v>
      </c>
      <c r="B397" s="336" t="s">
        <v>873</v>
      </c>
      <c r="C397" s="336" t="s">
        <v>1015</v>
      </c>
      <c r="D397" s="336" t="s">
        <v>1020</v>
      </c>
      <c r="E397" s="336" t="s">
        <v>876</v>
      </c>
      <c r="F397" s="336" t="s">
        <v>1017</v>
      </c>
    </row>
    <row r="398" spans="1:6" ht="24" customHeight="1">
      <c r="A398" s="336" t="s">
        <v>587</v>
      </c>
      <c r="B398" s="336" t="s">
        <v>873</v>
      </c>
      <c r="C398" s="336" t="s">
        <v>1015</v>
      </c>
      <c r="D398" s="336" t="s">
        <v>1021</v>
      </c>
      <c r="E398" s="336" t="s">
        <v>876</v>
      </c>
      <c r="F398" s="336" t="s">
        <v>1017</v>
      </c>
    </row>
    <row r="399" spans="1:6" ht="24" customHeight="1">
      <c r="A399" s="336" t="s">
        <v>587</v>
      </c>
      <c r="B399" s="336" t="s">
        <v>873</v>
      </c>
      <c r="C399" s="336" t="s">
        <v>1015</v>
      </c>
      <c r="D399" s="336" t="s">
        <v>1022</v>
      </c>
      <c r="E399" s="336" t="s">
        <v>876</v>
      </c>
      <c r="F399" s="336" t="s">
        <v>1017</v>
      </c>
    </row>
    <row r="400" spans="1:6" ht="24" customHeight="1">
      <c r="A400" s="336" t="s">
        <v>587</v>
      </c>
      <c r="B400" s="336" t="s">
        <v>873</v>
      </c>
      <c r="C400" s="336" t="s">
        <v>1015</v>
      </c>
      <c r="D400" s="336" t="s">
        <v>1023</v>
      </c>
      <c r="E400" s="336" t="s">
        <v>876</v>
      </c>
      <c r="F400" s="336" t="s">
        <v>1017</v>
      </c>
    </row>
    <row r="401" spans="1:6" ht="24" customHeight="1">
      <c r="A401" s="336" t="s">
        <v>587</v>
      </c>
      <c r="B401" s="336" t="s">
        <v>873</v>
      </c>
      <c r="C401" s="336" t="s">
        <v>1024</v>
      </c>
      <c r="D401" s="336" t="s">
        <v>1025</v>
      </c>
      <c r="E401" s="336" t="s">
        <v>876</v>
      </c>
      <c r="F401" s="336" t="s">
        <v>1026</v>
      </c>
    </row>
    <row r="402" spans="1:6" ht="24" customHeight="1">
      <c r="A402" s="336" t="s">
        <v>587</v>
      </c>
      <c r="B402" s="336" t="s">
        <v>873</v>
      </c>
      <c r="C402" s="336" t="s">
        <v>1027</v>
      </c>
      <c r="D402" s="336" t="s">
        <v>1028</v>
      </c>
      <c r="E402" s="336" t="s">
        <v>876</v>
      </c>
      <c r="F402" s="336" t="s">
        <v>1029</v>
      </c>
    </row>
    <row r="403" spans="1:6" ht="24" customHeight="1">
      <c r="A403" s="336" t="s">
        <v>587</v>
      </c>
      <c r="B403" s="336" t="s">
        <v>873</v>
      </c>
      <c r="C403" s="336" t="s">
        <v>1027</v>
      </c>
      <c r="D403" s="336" t="s">
        <v>1030</v>
      </c>
      <c r="E403" s="336" t="s">
        <v>876</v>
      </c>
      <c r="F403" s="336" t="s">
        <v>1029</v>
      </c>
    </row>
    <row r="404" spans="1:6" ht="24" customHeight="1">
      <c r="A404" s="336" t="s">
        <v>587</v>
      </c>
      <c r="B404" s="336" t="s">
        <v>873</v>
      </c>
      <c r="C404" s="336" t="s">
        <v>1027</v>
      </c>
      <c r="D404" s="336" t="s">
        <v>1031</v>
      </c>
      <c r="E404" s="336" t="s">
        <v>876</v>
      </c>
      <c r="F404" s="336" t="s">
        <v>1029</v>
      </c>
    </row>
    <row r="405" spans="1:6" ht="24" customHeight="1">
      <c r="A405" s="336" t="s">
        <v>587</v>
      </c>
      <c r="B405" s="336" t="s">
        <v>873</v>
      </c>
      <c r="C405" s="336" t="s">
        <v>1027</v>
      </c>
      <c r="D405" s="336" t="s">
        <v>1032</v>
      </c>
      <c r="E405" s="336" t="s">
        <v>876</v>
      </c>
      <c r="F405" s="336" t="s">
        <v>1029</v>
      </c>
    </row>
    <row r="406" spans="1:6" ht="24" customHeight="1">
      <c r="A406" s="336" t="s">
        <v>587</v>
      </c>
      <c r="B406" s="336" t="s">
        <v>873</v>
      </c>
      <c r="C406" s="336" t="s">
        <v>1027</v>
      </c>
      <c r="D406" s="336" t="s">
        <v>1033</v>
      </c>
      <c r="E406" s="336" t="s">
        <v>876</v>
      </c>
      <c r="F406" s="336" t="s">
        <v>1029</v>
      </c>
    </row>
    <row r="407" spans="1:6" ht="24" customHeight="1">
      <c r="A407" s="336" t="s">
        <v>587</v>
      </c>
      <c r="B407" s="336" t="s">
        <v>873</v>
      </c>
      <c r="C407" s="336" t="s">
        <v>1027</v>
      </c>
      <c r="D407" s="336" t="s">
        <v>1034</v>
      </c>
      <c r="E407" s="336" t="s">
        <v>876</v>
      </c>
      <c r="F407" s="336" t="s">
        <v>1029</v>
      </c>
    </row>
    <row r="408" spans="1:6" ht="24" customHeight="1">
      <c r="A408" s="336" t="s">
        <v>587</v>
      </c>
      <c r="B408" s="336" t="s">
        <v>873</v>
      </c>
      <c r="C408" s="336" t="s">
        <v>1027</v>
      </c>
      <c r="D408" s="336" t="s">
        <v>1035</v>
      </c>
      <c r="E408" s="336" t="s">
        <v>876</v>
      </c>
      <c r="F408" s="336" t="s">
        <v>1029</v>
      </c>
    </row>
    <row r="409" spans="1:6" ht="24" customHeight="1">
      <c r="A409" s="336" t="s">
        <v>587</v>
      </c>
      <c r="B409" s="336" t="s">
        <v>873</v>
      </c>
      <c r="C409" s="336" t="s">
        <v>1027</v>
      </c>
      <c r="D409" s="336" t="s">
        <v>1036</v>
      </c>
      <c r="E409" s="336" t="s">
        <v>876</v>
      </c>
      <c r="F409" s="336" t="s">
        <v>1029</v>
      </c>
    </row>
    <row r="410" spans="1:6" ht="24" customHeight="1">
      <c r="A410" s="336" t="s">
        <v>587</v>
      </c>
      <c r="B410" s="336" t="s">
        <v>873</v>
      </c>
      <c r="C410" s="336" t="s">
        <v>1027</v>
      </c>
      <c r="D410" s="336" t="s">
        <v>1037</v>
      </c>
      <c r="E410" s="336" t="s">
        <v>876</v>
      </c>
      <c r="F410" s="336" t="s">
        <v>1029</v>
      </c>
    </row>
    <row r="411" spans="1:6" ht="24" customHeight="1">
      <c r="A411" s="336" t="s">
        <v>587</v>
      </c>
      <c r="B411" s="336" t="s">
        <v>873</v>
      </c>
      <c r="C411" s="336" t="s">
        <v>1027</v>
      </c>
      <c r="D411" s="336" t="s">
        <v>1038</v>
      </c>
      <c r="E411" s="336" t="s">
        <v>876</v>
      </c>
      <c r="F411" s="336" t="s">
        <v>1029</v>
      </c>
    </row>
    <row r="412" spans="1:6" ht="24" customHeight="1">
      <c r="A412" s="336" t="s">
        <v>587</v>
      </c>
      <c r="B412" s="336" t="s">
        <v>873</v>
      </c>
      <c r="C412" s="336" t="s">
        <v>1027</v>
      </c>
      <c r="D412" s="336" t="s">
        <v>1039</v>
      </c>
      <c r="E412" s="336" t="s">
        <v>876</v>
      </c>
      <c r="F412" s="336" t="s">
        <v>1029</v>
      </c>
    </row>
    <row r="413" spans="1:6" ht="24" customHeight="1">
      <c r="A413" s="336" t="s">
        <v>587</v>
      </c>
      <c r="B413" s="336" t="s">
        <v>873</v>
      </c>
      <c r="C413" s="336" t="s">
        <v>1040</v>
      </c>
      <c r="D413" s="336" t="s">
        <v>1041</v>
      </c>
      <c r="E413" s="336" t="s">
        <v>876</v>
      </c>
      <c r="F413" s="336" t="s">
        <v>1042</v>
      </c>
    </row>
    <row r="414" spans="1:6" ht="24" customHeight="1">
      <c r="A414" s="336" t="s">
        <v>587</v>
      </c>
      <c r="B414" s="336" t="s">
        <v>873</v>
      </c>
      <c r="C414" s="336" t="s">
        <v>1040</v>
      </c>
      <c r="D414" s="336" t="s">
        <v>1043</v>
      </c>
      <c r="E414" s="336" t="s">
        <v>876</v>
      </c>
      <c r="F414" s="336" t="s">
        <v>1042</v>
      </c>
    </row>
    <row r="415" spans="1:6" ht="24" customHeight="1">
      <c r="A415" s="336" t="s">
        <v>587</v>
      </c>
      <c r="B415" s="336" t="s">
        <v>873</v>
      </c>
      <c r="C415" s="336" t="s">
        <v>1040</v>
      </c>
      <c r="D415" s="336" t="s">
        <v>1044</v>
      </c>
      <c r="E415" s="336" t="s">
        <v>876</v>
      </c>
      <c r="F415" s="336" t="s">
        <v>1042</v>
      </c>
    </row>
    <row r="416" spans="1:6" ht="24" customHeight="1">
      <c r="A416" s="336" t="s">
        <v>587</v>
      </c>
      <c r="B416" s="336" t="s">
        <v>873</v>
      </c>
      <c r="C416" s="336" t="s">
        <v>1040</v>
      </c>
      <c r="D416" s="336" t="s">
        <v>1045</v>
      </c>
      <c r="E416" s="336" t="s">
        <v>876</v>
      </c>
      <c r="F416" s="336" t="s">
        <v>1042</v>
      </c>
    </row>
    <row r="417" spans="1:6" ht="24" customHeight="1">
      <c r="A417" s="336" t="s">
        <v>587</v>
      </c>
      <c r="B417" s="336" t="s">
        <v>873</v>
      </c>
      <c r="C417" s="336" t="s">
        <v>1040</v>
      </c>
      <c r="D417" s="336" t="s">
        <v>1046</v>
      </c>
      <c r="E417" s="336" t="s">
        <v>876</v>
      </c>
      <c r="F417" s="336" t="s">
        <v>1042</v>
      </c>
    </row>
    <row r="418" spans="1:6" ht="24" customHeight="1">
      <c r="A418" s="336" t="s">
        <v>587</v>
      </c>
      <c r="B418" s="336" t="s">
        <v>873</v>
      </c>
      <c r="C418" s="336" t="s">
        <v>1047</v>
      </c>
      <c r="D418" s="336" t="s">
        <v>1048</v>
      </c>
      <c r="E418" s="336" t="s">
        <v>876</v>
      </c>
      <c r="F418" s="336" t="s">
        <v>1049</v>
      </c>
    </row>
    <row r="419" spans="1:6" ht="24" customHeight="1">
      <c r="A419" s="336" t="s">
        <v>587</v>
      </c>
      <c r="B419" s="336" t="s">
        <v>873</v>
      </c>
      <c r="C419" s="336" t="s">
        <v>1047</v>
      </c>
      <c r="D419" s="336" t="s">
        <v>1050</v>
      </c>
      <c r="E419" s="336" t="s">
        <v>876</v>
      </c>
      <c r="F419" s="336" t="s">
        <v>1049</v>
      </c>
    </row>
    <row r="420" spans="1:6" ht="24" customHeight="1">
      <c r="A420" s="336" t="s">
        <v>587</v>
      </c>
      <c r="B420" s="336" t="s">
        <v>873</v>
      </c>
      <c r="C420" s="336" t="s">
        <v>1047</v>
      </c>
      <c r="D420" s="336" t="s">
        <v>1051</v>
      </c>
      <c r="E420" s="336" t="s">
        <v>876</v>
      </c>
      <c r="F420" s="336" t="s">
        <v>1049</v>
      </c>
    </row>
    <row r="421" spans="1:6" ht="24" customHeight="1">
      <c r="A421" s="336" t="s">
        <v>587</v>
      </c>
      <c r="B421" s="336" t="s">
        <v>873</v>
      </c>
      <c r="C421" s="336" t="s">
        <v>1047</v>
      </c>
      <c r="D421" s="336" t="s">
        <v>1052</v>
      </c>
      <c r="E421" s="336" t="s">
        <v>876</v>
      </c>
      <c r="F421" s="336" t="s">
        <v>1049</v>
      </c>
    </row>
    <row r="422" spans="1:6" ht="24" customHeight="1">
      <c r="A422" s="336" t="s">
        <v>587</v>
      </c>
      <c r="B422" s="336" t="s">
        <v>873</v>
      </c>
      <c r="C422" s="336" t="s">
        <v>1053</v>
      </c>
      <c r="D422" s="336" t="s">
        <v>1054</v>
      </c>
      <c r="E422" s="336" t="s">
        <v>876</v>
      </c>
      <c r="F422" s="336" t="s">
        <v>1055</v>
      </c>
    </row>
    <row r="423" spans="1:6" ht="24" customHeight="1">
      <c r="A423" s="336" t="s">
        <v>587</v>
      </c>
      <c r="B423" s="336" t="s">
        <v>873</v>
      </c>
      <c r="C423" s="336" t="s">
        <v>1053</v>
      </c>
      <c r="D423" s="336" t="s">
        <v>1056</v>
      </c>
      <c r="E423" s="336" t="s">
        <v>876</v>
      </c>
      <c r="F423" s="336" t="s">
        <v>1055</v>
      </c>
    </row>
    <row r="424" spans="1:6" ht="24" customHeight="1">
      <c r="A424" s="336" t="s">
        <v>587</v>
      </c>
      <c r="B424" s="336" t="s">
        <v>873</v>
      </c>
      <c r="C424" s="336" t="s">
        <v>1053</v>
      </c>
      <c r="D424" s="336" t="s">
        <v>1057</v>
      </c>
      <c r="E424" s="336" t="s">
        <v>876</v>
      </c>
      <c r="F424" s="336" t="s">
        <v>1055</v>
      </c>
    </row>
    <row r="425" spans="1:6" ht="24" customHeight="1">
      <c r="A425" s="336" t="s">
        <v>587</v>
      </c>
      <c r="B425" s="336" t="s">
        <v>1058</v>
      </c>
      <c r="C425" s="336" t="s">
        <v>1059</v>
      </c>
      <c r="D425" s="336" t="s">
        <v>1060</v>
      </c>
      <c r="E425" s="336" t="s">
        <v>1061</v>
      </c>
      <c r="F425" s="336" t="s">
        <v>1062</v>
      </c>
    </row>
    <row r="426" spans="1:6" ht="24" customHeight="1">
      <c r="A426" s="336" t="s">
        <v>587</v>
      </c>
      <c r="B426" s="336" t="s">
        <v>1058</v>
      </c>
      <c r="C426" s="336" t="s">
        <v>1059</v>
      </c>
      <c r="D426" s="336" t="s">
        <v>1063</v>
      </c>
      <c r="E426" s="336" t="s">
        <v>1061</v>
      </c>
      <c r="F426" s="336" t="s">
        <v>1062</v>
      </c>
    </row>
    <row r="427" spans="1:6" ht="24" customHeight="1">
      <c r="A427" s="336" t="s">
        <v>587</v>
      </c>
      <c r="B427" s="336" t="s">
        <v>1058</v>
      </c>
      <c r="C427" s="336" t="s">
        <v>1059</v>
      </c>
      <c r="D427" s="336" t="s">
        <v>1064</v>
      </c>
      <c r="E427" s="336" t="s">
        <v>1061</v>
      </c>
      <c r="F427" s="336" t="s">
        <v>1062</v>
      </c>
    </row>
    <row r="428" spans="1:6" ht="24" customHeight="1">
      <c r="A428" s="336" t="s">
        <v>587</v>
      </c>
      <c r="B428" s="336" t="s">
        <v>1058</v>
      </c>
      <c r="C428" s="336" t="s">
        <v>1059</v>
      </c>
      <c r="D428" s="336" t="s">
        <v>1065</v>
      </c>
      <c r="E428" s="336" t="s">
        <v>1061</v>
      </c>
      <c r="F428" s="336" t="s">
        <v>1062</v>
      </c>
    </row>
    <row r="429" spans="1:6" ht="24" customHeight="1">
      <c r="A429" s="336" t="s">
        <v>587</v>
      </c>
      <c r="B429" s="336" t="s">
        <v>1058</v>
      </c>
      <c r="C429" s="336" t="s">
        <v>1059</v>
      </c>
      <c r="D429" s="336" t="s">
        <v>1066</v>
      </c>
      <c r="E429" s="336" t="s">
        <v>1061</v>
      </c>
      <c r="F429" s="336" t="s">
        <v>1062</v>
      </c>
    </row>
    <row r="430" spans="1:6" ht="24" customHeight="1">
      <c r="A430" s="336" t="s">
        <v>587</v>
      </c>
      <c r="B430" s="336" t="s">
        <v>1058</v>
      </c>
      <c r="C430" s="336" t="s">
        <v>1059</v>
      </c>
      <c r="D430" s="336" t="s">
        <v>1067</v>
      </c>
      <c r="E430" s="336" t="s">
        <v>1061</v>
      </c>
      <c r="F430" s="336" t="s">
        <v>1062</v>
      </c>
    </row>
    <row r="431" spans="1:6" ht="24" customHeight="1">
      <c r="A431" s="336" t="s">
        <v>587</v>
      </c>
      <c r="B431" s="336" t="s">
        <v>1058</v>
      </c>
      <c r="C431" s="336" t="s">
        <v>1059</v>
      </c>
      <c r="D431" s="336" t="s">
        <v>1068</v>
      </c>
      <c r="E431" s="336" t="s">
        <v>1061</v>
      </c>
      <c r="F431" s="336" t="s">
        <v>1062</v>
      </c>
    </row>
    <row r="432" spans="1:6" ht="24" customHeight="1">
      <c r="A432" s="336" t="s">
        <v>587</v>
      </c>
      <c r="B432" s="336" t="s">
        <v>1058</v>
      </c>
      <c r="C432" s="336" t="s">
        <v>1059</v>
      </c>
      <c r="D432" s="336" t="s">
        <v>1069</v>
      </c>
      <c r="E432" s="336" t="s">
        <v>1061</v>
      </c>
      <c r="F432" s="336" t="s">
        <v>1062</v>
      </c>
    </row>
    <row r="433" spans="1:6" ht="24" customHeight="1">
      <c r="A433" s="336" t="s">
        <v>587</v>
      </c>
      <c r="B433" s="336" t="s">
        <v>1058</v>
      </c>
      <c r="C433" s="336" t="s">
        <v>1059</v>
      </c>
      <c r="D433" s="336" t="s">
        <v>1070</v>
      </c>
      <c r="E433" s="336" t="s">
        <v>1061</v>
      </c>
      <c r="F433" s="336" t="s">
        <v>1062</v>
      </c>
    </row>
    <row r="434" spans="1:6" ht="24" customHeight="1">
      <c r="A434" s="336" t="s">
        <v>587</v>
      </c>
      <c r="B434" s="336" t="s">
        <v>1058</v>
      </c>
      <c r="C434" s="336" t="s">
        <v>1059</v>
      </c>
      <c r="D434" s="336" t="s">
        <v>1071</v>
      </c>
      <c r="E434" s="336" t="s">
        <v>1061</v>
      </c>
      <c r="F434" s="336" t="s">
        <v>1062</v>
      </c>
    </row>
    <row r="435" spans="1:6" ht="24" customHeight="1">
      <c r="A435" s="336" t="s">
        <v>587</v>
      </c>
      <c r="B435" s="336" t="s">
        <v>1058</v>
      </c>
      <c r="C435" s="336" t="s">
        <v>1072</v>
      </c>
      <c r="D435" s="336" t="s">
        <v>1073</v>
      </c>
      <c r="E435" s="336" t="s">
        <v>1061</v>
      </c>
      <c r="F435" s="336" t="s">
        <v>1074</v>
      </c>
    </row>
    <row r="436" spans="1:6" ht="24" customHeight="1">
      <c r="A436" s="336" t="s">
        <v>587</v>
      </c>
      <c r="B436" s="336" t="s">
        <v>1058</v>
      </c>
      <c r="C436" s="336" t="s">
        <v>1072</v>
      </c>
      <c r="D436" s="336" t="s">
        <v>1075</v>
      </c>
      <c r="E436" s="336" t="s">
        <v>1061</v>
      </c>
      <c r="F436" s="336" t="s">
        <v>1074</v>
      </c>
    </row>
    <row r="437" spans="1:6" ht="24" customHeight="1">
      <c r="A437" s="336" t="s">
        <v>587</v>
      </c>
      <c r="B437" s="336" t="s">
        <v>1058</v>
      </c>
      <c r="C437" s="336" t="s">
        <v>1072</v>
      </c>
      <c r="D437" s="336" t="s">
        <v>1076</v>
      </c>
      <c r="E437" s="336" t="s">
        <v>1061</v>
      </c>
      <c r="F437" s="336" t="s">
        <v>1074</v>
      </c>
    </row>
    <row r="438" spans="1:6" ht="24" customHeight="1">
      <c r="A438" s="336" t="s">
        <v>587</v>
      </c>
      <c r="B438" s="336" t="s">
        <v>1058</v>
      </c>
      <c r="C438" s="336" t="s">
        <v>1072</v>
      </c>
      <c r="D438" s="336" t="s">
        <v>1077</v>
      </c>
      <c r="E438" s="336" t="s">
        <v>1061</v>
      </c>
      <c r="F438" s="336" t="s">
        <v>1074</v>
      </c>
    </row>
    <row r="439" spans="1:6" ht="24" customHeight="1">
      <c r="A439" s="336" t="s">
        <v>587</v>
      </c>
      <c r="B439" s="336" t="s">
        <v>1058</v>
      </c>
      <c r="C439" s="336" t="s">
        <v>1078</v>
      </c>
      <c r="D439" s="336" t="s">
        <v>1079</v>
      </c>
      <c r="E439" s="336" t="s">
        <v>1061</v>
      </c>
      <c r="F439" s="336" t="s">
        <v>1080</v>
      </c>
    </row>
    <row r="440" spans="1:6" ht="24" customHeight="1">
      <c r="A440" s="336" t="s">
        <v>587</v>
      </c>
      <c r="B440" s="336" t="s">
        <v>1058</v>
      </c>
      <c r="C440" s="336" t="s">
        <v>1078</v>
      </c>
      <c r="D440" s="336" t="s">
        <v>1081</v>
      </c>
      <c r="E440" s="336" t="s">
        <v>1061</v>
      </c>
      <c r="F440" s="336" t="s">
        <v>1080</v>
      </c>
    </row>
    <row r="441" spans="1:6" ht="24" customHeight="1">
      <c r="A441" s="336" t="s">
        <v>587</v>
      </c>
      <c r="B441" s="336" t="s">
        <v>1058</v>
      </c>
      <c r="C441" s="336" t="s">
        <v>1078</v>
      </c>
      <c r="D441" s="336" t="s">
        <v>1082</v>
      </c>
      <c r="E441" s="336" t="s">
        <v>1061</v>
      </c>
      <c r="F441" s="336" t="s">
        <v>1080</v>
      </c>
    </row>
    <row r="442" spans="1:6" ht="24" customHeight="1">
      <c r="A442" s="336" t="s">
        <v>587</v>
      </c>
      <c r="B442" s="336" t="s">
        <v>1058</v>
      </c>
      <c r="C442" s="336" t="s">
        <v>1078</v>
      </c>
      <c r="D442" s="336" t="s">
        <v>1083</v>
      </c>
      <c r="E442" s="336" t="s">
        <v>1061</v>
      </c>
      <c r="F442" s="336" t="s">
        <v>1080</v>
      </c>
    </row>
    <row r="443" spans="1:6" ht="24" customHeight="1">
      <c r="A443" s="336" t="s">
        <v>587</v>
      </c>
      <c r="B443" s="336" t="s">
        <v>1058</v>
      </c>
      <c r="C443" s="336" t="s">
        <v>1078</v>
      </c>
      <c r="D443" s="336" t="s">
        <v>1084</v>
      </c>
      <c r="E443" s="336" t="s">
        <v>1061</v>
      </c>
      <c r="F443" s="336" t="s">
        <v>1080</v>
      </c>
    </row>
    <row r="444" spans="1:6" ht="24" customHeight="1">
      <c r="A444" s="336" t="s">
        <v>587</v>
      </c>
      <c r="B444" s="336" t="s">
        <v>1058</v>
      </c>
      <c r="C444" s="336" t="s">
        <v>1078</v>
      </c>
      <c r="D444" s="336" t="s">
        <v>1085</v>
      </c>
      <c r="E444" s="336" t="s">
        <v>1061</v>
      </c>
      <c r="F444" s="336" t="s">
        <v>1080</v>
      </c>
    </row>
    <row r="445" spans="1:6" ht="24" customHeight="1">
      <c r="A445" s="336" t="s">
        <v>587</v>
      </c>
      <c r="B445" s="336" t="s">
        <v>1058</v>
      </c>
      <c r="C445" s="336" t="s">
        <v>1078</v>
      </c>
      <c r="D445" s="336" t="s">
        <v>1086</v>
      </c>
      <c r="E445" s="336" t="s">
        <v>1061</v>
      </c>
      <c r="F445" s="336" t="s">
        <v>1080</v>
      </c>
    </row>
    <row r="446" spans="1:6" ht="24" customHeight="1">
      <c r="A446" s="336" t="s">
        <v>587</v>
      </c>
      <c r="B446" s="336" t="s">
        <v>1058</v>
      </c>
      <c r="C446" s="336" t="s">
        <v>1078</v>
      </c>
      <c r="D446" s="336" t="s">
        <v>1087</v>
      </c>
      <c r="E446" s="336" t="s">
        <v>1061</v>
      </c>
      <c r="F446" s="336" t="s">
        <v>1080</v>
      </c>
    </row>
    <row r="447" spans="1:6" ht="24" customHeight="1">
      <c r="A447" s="336" t="s">
        <v>587</v>
      </c>
      <c r="B447" s="336" t="s">
        <v>1058</v>
      </c>
      <c r="C447" s="336" t="s">
        <v>1078</v>
      </c>
      <c r="D447" s="336" t="s">
        <v>1088</v>
      </c>
      <c r="E447" s="336" t="s">
        <v>1061</v>
      </c>
      <c r="F447" s="336" t="s">
        <v>1080</v>
      </c>
    </row>
    <row r="448" spans="1:6" ht="24" customHeight="1">
      <c r="A448" s="336" t="s">
        <v>587</v>
      </c>
      <c r="B448" s="336" t="s">
        <v>1058</v>
      </c>
      <c r="C448" s="336" t="s">
        <v>1078</v>
      </c>
      <c r="D448" s="336" t="s">
        <v>1089</v>
      </c>
      <c r="E448" s="336" t="s">
        <v>1061</v>
      </c>
      <c r="F448" s="336" t="s">
        <v>1080</v>
      </c>
    </row>
    <row r="449" spans="1:6" ht="24" customHeight="1">
      <c r="A449" s="336" t="s">
        <v>587</v>
      </c>
      <c r="B449" s="336" t="s">
        <v>1058</v>
      </c>
      <c r="C449" s="336" t="s">
        <v>1078</v>
      </c>
      <c r="D449" s="336" t="s">
        <v>1090</v>
      </c>
      <c r="E449" s="336" t="s">
        <v>1061</v>
      </c>
      <c r="F449" s="336" t="s">
        <v>1080</v>
      </c>
    </row>
    <row r="450" spans="1:6" ht="24" customHeight="1">
      <c r="A450" s="336" t="s">
        <v>587</v>
      </c>
      <c r="B450" s="336" t="s">
        <v>1058</v>
      </c>
      <c r="C450" s="336" t="s">
        <v>1078</v>
      </c>
      <c r="D450" s="336" t="s">
        <v>1091</v>
      </c>
      <c r="E450" s="336" t="s">
        <v>1061</v>
      </c>
      <c r="F450" s="336" t="s">
        <v>1080</v>
      </c>
    </row>
    <row r="451" spans="1:6" ht="24" customHeight="1">
      <c r="A451" s="336" t="s">
        <v>587</v>
      </c>
      <c r="B451" s="336" t="s">
        <v>1058</v>
      </c>
      <c r="C451" s="336" t="s">
        <v>1078</v>
      </c>
      <c r="D451" s="336" t="s">
        <v>1092</v>
      </c>
      <c r="E451" s="336" t="s">
        <v>1061</v>
      </c>
      <c r="F451" s="336" t="s">
        <v>1080</v>
      </c>
    </row>
    <row r="452" spans="1:6" ht="24" customHeight="1">
      <c r="A452" s="336" t="s">
        <v>587</v>
      </c>
      <c r="B452" s="336" t="s">
        <v>1058</v>
      </c>
      <c r="C452" s="336" t="s">
        <v>1078</v>
      </c>
      <c r="D452" s="336" t="s">
        <v>1093</v>
      </c>
      <c r="E452" s="336" t="s">
        <v>1061</v>
      </c>
      <c r="F452" s="336" t="s">
        <v>1080</v>
      </c>
    </row>
    <row r="453" spans="1:6" ht="24" customHeight="1">
      <c r="A453" s="336" t="s">
        <v>587</v>
      </c>
      <c r="B453" s="336" t="s">
        <v>1058</v>
      </c>
      <c r="C453" s="336" t="s">
        <v>1094</v>
      </c>
      <c r="D453" s="336" t="s">
        <v>1095</v>
      </c>
      <c r="E453" s="336" t="s">
        <v>1061</v>
      </c>
      <c r="F453" s="336" t="s">
        <v>1096</v>
      </c>
    </row>
    <row r="454" spans="1:6" ht="24" customHeight="1">
      <c r="A454" s="336" t="s">
        <v>587</v>
      </c>
      <c r="B454" s="336" t="s">
        <v>1058</v>
      </c>
      <c r="C454" s="336" t="s">
        <v>1094</v>
      </c>
      <c r="D454" s="336" t="s">
        <v>1097</v>
      </c>
      <c r="E454" s="336" t="s">
        <v>1061</v>
      </c>
      <c r="F454" s="336" t="s">
        <v>1096</v>
      </c>
    </row>
    <row r="455" spans="1:6" ht="24" customHeight="1">
      <c r="A455" s="336" t="s">
        <v>587</v>
      </c>
      <c r="B455" s="336" t="s">
        <v>1058</v>
      </c>
      <c r="C455" s="336" t="s">
        <v>1094</v>
      </c>
      <c r="D455" s="336" t="s">
        <v>1098</v>
      </c>
      <c r="E455" s="336" t="s">
        <v>1061</v>
      </c>
      <c r="F455" s="336" t="s">
        <v>1096</v>
      </c>
    </row>
    <row r="456" spans="1:6" ht="24" customHeight="1">
      <c r="A456" s="336" t="s">
        <v>587</v>
      </c>
      <c r="B456" s="336" t="s">
        <v>1058</v>
      </c>
      <c r="C456" s="336" t="s">
        <v>1094</v>
      </c>
      <c r="D456" s="336" t="s">
        <v>1099</v>
      </c>
      <c r="E456" s="336" t="s">
        <v>1061</v>
      </c>
      <c r="F456" s="336" t="s">
        <v>1096</v>
      </c>
    </row>
    <row r="457" spans="1:6" ht="24" customHeight="1">
      <c r="A457" s="336" t="s">
        <v>587</v>
      </c>
      <c r="B457" s="336" t="s">
        <v>1058</v>
      </c>
      <c r="C457" s="336" t="s">
        <v>1094</v>
      </c>
      <c r="D457" s="336" t="s">
        <v>1100</v>
      </c>
      <c r="E457" s="336" t="s">
        <v>1061</v>
      </c>
      <c r="F457" s="336" t="s">
        <v>1096</v>
      </c>
    </row>
    <row r="458" spans="1:6" ht="24" customHeight="1">
      <c r="A458" s="336" t="s">
        <v>587</v>
      </c>
      <c r="B458" s="336" t="s">
        <v>1058</v>
      </c>
      <c r="C458" s="336" t="s">
        <v>1094</v>
      </c>
      <c r="D458" s="336" t="s">
        <v>1101</v>
      </c>
      <c r="E458" s="336" t="s">
        <v>1061</v>
      </c>
      <c r="F458" s="336" t="s">
        <v>1096</v>
      </c>
    </row>
    <row r="459" spans="1:6" ht="24" customHeight="1">
      <c r="A459" s="336" t="s">
        <v>587</v>
      </c>
      <c r="B459" s="336" t="s">
        <v>1058</v>
      </c>
      <c r="C459" s="336" t="s">
        <v>1094</v>
      </c>
      <c r="D459" s="336" t="s">
        <v>1102</v>
      </c>
      <c r="E459" s="336" t="s">
        <v>1061</v>
      </c>
      <c r="F459" s="336" t="s">
        <v>1096</v>
      </c>
    </row>
    <row r="460" spans="1:6" ht="24" customHeight="1">
      <c r="A460" s="336" t="s">
        <v>587</v>
      </c>
      <c r="B460" s="336" t="s">
        <v>1058</v>
      </c>
      <c r="C460" s="336" t="s">
        <v>1094</v>
      </c>
      <c r="D460" s="336" t="s">
        <v>1103</v>
      </c>
      <c r="E460" s="336" t="s">
        <v>1061</v>
      </c>
      <c r="F460" s="336" t="s">
        <v>1096</v>
      </c>
    </row>
    <row r="461" spans="1:6" ht="24" customHeight="1">
      <c r="A461" s="336" t="s">
        <v>587</v>
      </c>
      <c r="B461" s="336" t="s">
        <v>1058</v>
      </c>
      <c r="C461" s="336" t="s">
        <v>1094</v>
      </c>
      <c r="D461" s="336" t="s">
        <v>1104</v>
      </c>
      <c r="E461" s="336" t="s">
        <v>1061</v>
      </c>
      <c r="F461" s="336" t="s">
        <v>1096</v>
      </c>
    </row>
    <row r="462" spans="1:6" ht="24" customHeight="1">
      <c r="A462" s="336" t="s">
        <v>587</v>
      </c>
      <c r="B462" s="336" t="s">
        <v>1058</v>
      </c>
      <c r="C462" s="336" t="s">
        <v>1094</v>
      </c>
      <c r="D462" s="336" t="s">
        <v>1105</v>
      </c>
      <c r="E462" s="336" t="s">
        <v>1061</v>
      </c>
      <c r="F462" s="336" t="s">
        <v>1096</v>
      </c>
    </row>
    <row r="463" spans="1:6" ht="24" customHeight="1">
      <c r="A463" s="336" t="s">
        <v>587</v>
      </c>
      <c r="B463" s="336" t="s">
        <v>1058</v>
      </c>
      <c r="C463" s="336" t="s">
        <v>1094</v>
      </c>
      <c r="D463" s="336" t="s">
        <v>1106</v>
      </c>
      <c r="E463" s="336" t="s">
        <v>1061</v>
      </c>
      <c r="F463" s="336" t="s">
        <v>1096</v>
      </c>
    </row>
    <row r="464" spans="1:6" ht="24" customHeight="1">
      <c r="A464" s="336" t="s">
        <v>587</v>
      </c>
      <c r="B464" s="336" t="s">
        <v>1058</v>
      </c>
      <c r="C464" s="336" t="s">
        <v>1094</v>
      </c>
      <c r="D464" s="336" t="s">
        <v>1107</v>
      </c>
      <c r="E464" s="336" t="s">
        <v>1061</v>
      </c>
      <c r="F464" s="336" t="s">
        <v>1096</v>
      </c>
    </row>
    <row r="465" spans="1:6" ht="24" customHeight="1">
      <c r="A465" s="336" t="s">
        <v>587</v>
      </c>
      <c r="B465" s="336" t="s">
        <v>1058</v>
      </c>
      <c r="C465" s="336" t="s">
        <v>1094</v>
      </c>
      <c r="D465" s="336" t="s">
        <v>1108</v>
      </c>
      <c r="E465" s="336" t="s">
        <v>1061</v>
      </c>
      <c r="F465" s="336" t="s">
        <v>1096</v>
      </c>
    </row>
    <row r="466" spans="1:6" ht="24" customHeight="1">
      <c r="A466" s="336" t="s">
        <v>587</v>
      </c>
      <c r="B466" s="336" t="s">
        <v>1058</v>
      </c>
      <c r="C466" s="336" t="s">
        <v>1094</v>
      </c>
      <c r="D466" s="336" t="s">
        <v>1109</v>
      </c>
      <c r="E466" s="336" t="s">
        <v>1061</v>
      </c>
      <c r="F466" s="336" t="s">
        <v>1096</v>
      </c>
    </row>
    <row r="467" spans="1:6" ht="24" customHeight="1">
      <c r="A467" s="336" t="s">
        <v>587</v>
      </c>
      <c r="B467" s="336" t="s">
        <v>1058</v>
      </c>
      <c r="C467" s="336" t="s">
        <v>1110</v>
      </c>
      <c r="D467" s="336" t="s">
        <v>1111</v>
      </c>
      <c r="E467" s="336" t="s">
        <v>1061</v>
      </c>
      <c r="F467" s="336" t="s">
        <v>1112</v>
      </c>
    </row>
    <row r="468" spans="1:6" ht="24" customHeight="1">
      <c r="A468" s="336" t="s">
        <v>587</v>
      </c>
      <c r="B468" s="336" t="s">
        <v>1058</v>
      </c>
      <c r="C468" s="336" t="s">
        <v>1110</v>
      </c>
      <c r="D468" s="336" t="s">
        <v>1113</v>
      </c>
      <c r="E468" s="336" t="s">
        <v>1061</v>
      </c>
      <c r="F468" s="336" t="s">
        <v>1112</v>
      </c>
    </row>
    <row r="469" spans="1:6" ht="24" customHeight="1">
      <c r="A469" s="336" t="s">
        <v>587</v>
      </c>
      <c r="B469" s="336" t="s">
        <v>1058</v>
      </c>
      <c r="C469" s="336" t="s">
        <v>1110</v>
      </c>
      <c r="D469" s="336" t="s">
        <v>1114</v>
      </c>
      <c r="E469" s="336" t="s">
        <v>1061</v>
      </c>
      <c r="F469" s="336" t="s">
        <v>1112</v>
      </c>
    </row>
    <row r="470" spans="1:6" ht="24" customHeight="1">
      <c r="A470" s="336" t="s">
        <v>587</v>
      </c>
      <c r="B470" s="336" t="s">
        <v>1058</v>
      </c>
      <c r="C470" s="336" t="s">
        <v>1110</v>
      </c>
      <c r="D470" s="336" t="s">
        <v>1115</v>
      </c>
      <c r="E470" s="336" t="s">
        <v>1061</v>
      </c>
      <c r="F470" s="336" t="s">
        <v>1112</v>
      </c>
    </row>
    <row r="471" spans="1:6" ht="24" customHeight="1">
      <c r="A471" s="336" t="s">
        <v>587</v>
      </c>
      <c r="B471" s="336" t="s">
        <v>1058</v>
      </c>
      <c r="C471" s="336" t="s">
        <v>1110</v>
      </c>
      <c r="D471" s="336" t="s">
        <v>1116</v>
      </c>
      <c r="E471" s="336" t="s">
        <v>1061</v>
      </c>
      <c r="F471" s="336" t="s">
        <v>1112</v>
      </c>
    </row>
    <row r="472" spans="1:6" ht="24" customHeight="1">
      <c r="A472" s="336" t="s">
        <v>587</v>
      </c>
      <c r="B472" s="336" t="s">
        <v>1058</v>
      </c>
      <c r="C472" s="336" t="s">
        <v>1110</v>
      </c>
      <c r="D472" s="336" t="s">
        <v>1117</v>
      </c>
      <c r="E472" s="336" t="s">
        <v>1061</v>
      </c>
      <c r="F472" s="336" t="s">
        <v>1112</v>
      </c>
    </row>
    <row r="473" spans="1:6" ht="24" customHeight="1">
      <c r="A473" s="336" t="s">
        <v>587</v>
      </c>
      <c r="B473" s="336" t="s">
        <v>1058</v>
      </c>
      <c r="C473" s="336" t="s">
        <v>1118</v>
      </c>
      <c r="D473" s="336" t="s">
        <v>1119</v>
      </c>
      <c r="E473" s="336" t="s">
        <v>1061</v>
      </c>
      <c r="F473" s="336" t="s">
        <v>1120</v>
      </c>
    </row>
    <row r="474" spans="1:6" ht="24" customHeight="1">
      <c r="A474" s="336" t="s">
        <v>587</v>
      </c>
      <c r="B474" s="336" t="s">
        <v>1058</v>
      </c>
      <c r="C474" s="336" t="s">
        <v>1118</v>
      </c>
      <c r="D474" s="336" t="s">
        <v>1121</v>
      </c>
      <c r="E474" s="336" t="s">
        <v>1061</v>
      </c>
      <c r="F474" s="336" t="s">
        <v>1120</v>
      </c>
    </row>
    <row r="475" spans="1:6" ht="24" customHeight="1">
      <c r="A475" s="336" t="s">
        <v>587</v>
      </c>
      <c r="B475" s="336" t="s">
        <v>1058</v>
      </c>
      <c r="C475" s="336" t="s">
        <v>1118</v>
      </c>
      <c r="D475" s="336" t="s">
        <v>1122</v>
      </c>
      <c r="E475" s="336" t="s">
        <v>1061</v>
      </c>
      <c r="F475" s="336" t="s">
        <v>1120</v>
      </c>
    </row>
    <row r="476" spans="1:6" ht="24" customHeight="1">
      <c r="A476" s="336" t="s">
        <v>587</v>
      </c>
      <c r="B476" s="336" t="s">
        <v>1058</v>
      </c>
      <c r="C476" s="336" t="s">
        <v>1118</v>
      </c>
      <c r="D476" s="336" t="s">
        <v>1123</v>
      </c>
      <c r="E476" s="336" t="s">
        <v>1061</v>
      </c>
      <c r="F476" s="336" t="s">
        <v>1120</v>
      </c>
    </row>
    <row r="477" spans="1:6" ht="24" customHeight="1">
      <c r="A477" s="336" t="s">
        <v>587</v>
      </c>
      <c r="B477" s="336" t="s">
        <v>1058</v>
      </c>
      <c r="C477" s="336" t="s">
        <v>1118</v>
      </c>
      <c r="D477" s="336" t="s">
        <v>1124</v>
      </c>
      <c r="E477" s="336" t="s">
        <v>1061</v>
      </c>
      <c r="F477" s="336" t="s">
        <v>1120</v>
      </c>
    </row>
    <row r="478" spans="1:6" ht="24" customHeight="1">
      <c r="A478" s="336" t="s">
        <v>587</v>
      </c>
      <c r="B478" s="336" t="s">
        <v>1058</v>
      </c>
      <c r="C478" s="336" t="s">
        <v>1118</v>
      </c>
      <c r="D478" s="336" t="s">
        <v>1125</v>
      </c>
      <c r="E478" s="336" t="s">
        <v>1061</v>
      </c>
      <c r="F478" s="336" t="s">
        <v>1120</v>
      </c>
    </row>
    <row r="479" spans="1:6" ht="24" customHeight="1">
      <c r="A479" s="336" t="s">
        <v>587</v>
      </c>
      <c r="B479" s="336" t="s">
        <v>1058</v>
      </c>
      <c r="C479" s="336" t="s">
        <v>1118</v>
      </c>
      <c r="D479" s="336" t="s">
        <v>1126</v>
      </c>
      <c r="E479" s="336" t="s">
        <v>1061</v>
      </c>
      <c r="F479" s="336" t="s">
        <v>1120</v>
      </c>
    </row>
    <row r="480" spans="1:6" ht="24" customHeight="1">
      <c r="A480" s="336" t="s">
        <v>587</v>
      </c>
      <c r="B480" s="336" t="s">
        <v>1058</v>
      </c>
      <c r="C480" s="336" t="s">
        <v>1118</v>
      </c>
      <c r="D480" s="336" t="s">
        <v>1127</v>
      </c>
      <c r="E480" s="336" t="s">
        <v>1061</v>
      </c>
      <c r="F480" s="336" t="s">
        <v>1120</v>
      </c>
    </row>
    <row r="481" spans="1:6" ht="24" customHeight="1">
      <c r="A481" s="336" t="s">
        <v>587</v>
      </c>
      <c r="B481" s="336" t="s">
        <v>1058</v>
      </c>
      <c r="C481" s="336" t="s">
        <v>1118</v>
      </c>
      <c r="D481" s="336" t="s">
        <v>1128</v>
      </c>
      <c r="E481" s="336" t="s">
        <v>1061</v>
      </c>
      <c r="F481" s="336" t="s">
        <v>1120</v>
      </c>
    </row>
    <row r="482" spans="1:6" ht="24" customHeight="1">
      <c r="A482" s="336" t="s">
        <v>587</v>
      </c>
      <c r="B482" s="336" t="s">
        <v>1058</v>
      </c>
      <c r="C482" s="336" t="s">
        <v>1118</v>
      </c>
      <c r="D482" s="336" t="s">
        <v>1129</v>
      </c>
      <c r="E482" s="336" t="s">
        <v>1061</v>
      </c>
      <c r="F482" s="336" t="s">
        <v>1120</v>
      </c>
    </row>
    <row r="483" spans="1:6" ht="24" customHeight="1">
      <c r="A483" s="336" t="s">
        <v>587</v>
      </c>
      <c r="B483" s="336" t="s">
        <v>1058</v>
      </c>
      <c r="C483" s="336" t="s">
        <v>1118</v>
      </c>
      <c r="D483" s="336" t="s">
        <v>1130</v>
      </c>
      <c r="E483" s="336" t="s">
        <v>1061</v>
      </c>
      <c r="F483" s="336" t="s">
        <v>1120</v>
      </c>
    </row>
    <row r="484" spans="1:6" ht="24" customHeight="1">
      <c r="A484" s="336" t="s">
        <v>587</v>
      </c>
      <c r="B484" s="336" t="s">
        <v>1058</v>
      </c>
      <c r="C484" s="336" t="s">
        <v>1118</v>
      </c>
      <c r="D484" s="336" t="s">
        <v>1131</v>
      </c>
      <c r="E484" s="336" t="s">
        <v>1061</v>
      </c>
      <c r="F484" s="336" t="s">
        <v>1120</v>
      </c>
    </row>
    <row r="485" spans="1:6" ht="24" customHeight="1">
      <c r="A485" s="336" t="s">
        <v>587</v>
      </c>
      <c r="B485" s="336" t="s">
        <v>1058</v>
      </c>
      <c r="C485" s="336" t="s">
        <v>1118</v>
      </c>
      <c r="D485" s="336" t="s">
        <v>1132</v>
      </c>
      <c r="E485" s="336" t="s">
        <v>1061</v>
      </c>
      <c r="F485" s="336" t="s">
        <v>1120</v>
      </c>
    </row>
    <row r="486" spans="1:6" ht="24" customHeight="1">
      <c r="A486" s="336" t="s">
        <v>587</v>
      </c>
      <c r="B486" s="336" t="s">
        <v>1058</v>
      </c>
      <c r="C486" s="336" t="s">
        <v>1118</v>
      </c>
      <c r="D486" s="336" t="s">
        <v>1133</v>
      </c>
      <c r="E486" s="336" t="s">
        <v>1061</v>
      </c>
      <c r="F486" s="336" t="s">
        <v>1120</v>
      </c>
    </row>
    <row r="487" spans="1:6" ht="24" customHeight="1">
      <c r="A487" s="336" t="s">
        <v>1134</v>
      </c>
      <c r="B487" s="336" t="s">
        <v>1135</v>
      </c>
      <c r="C487" s="336" t="s">
        <v>1136</v>
      </c>
      <c r="D487" s="336" t="s">
        <v>487</v>
      </c>
      <c r="E487" s="336" t="s">
        <v>1137</v>
      </c>
      <c r="F487" s="336" t="s">
        <v>1138</v>
      </c>
    </row>
    <row r="488" spans="1:6" ht="24" customHeight="1">
      <c r="A488" s="336" t="s">
        <v>1134</v>
      </c>
      <c r="B488" s="336" t="s">
        <v>1135</v>
      </c>
      <c r="C488" s="336" t="s">
        <v>1136</v>
      </c>
      <c r="D488" s="336" t="s">
        <v>490</v>
      </c>
      <c r="E488" s="336" t="s">
        <v>1137</v>
      </c>
      <c r="F488" s="336" t="s">
        <v>1138</v>
      </c>
    </row>
    <row r="489" spans="1:6" ht="24" customHeight="1">
      <c r="A489" s="336" t="s">
        <v>1134</v>
      </c>
      <c r="B489" s="336" t="s">
        <v>1135</v>
      </c>
      <c r="C489" s="336" t="s">
        <v>1136</v>
      </c>
      <c r="D489" s="336" t="s">
        <v>493</v>
      </c>
      <c r="E489" s="336" t="s">
        <v>1137</v>
      </c>
      <c r="F489" s="336" t="s">
        <v>1138</v>
      </c>
    </row>
    <row r="490" spans="1:6" ht="24" customHeight="1">
      <c r="A490" s="336" t="s">
        <v>1134</v>
      </c>
      <c r="B490" s="336" t="s">
        <v>1135</v>
      </c>
      <c r="C490" s="336" t="s">
        <v>1139</v>
      </c>
      <c r="D490" s="336" t="s">
        <v>1140</v>
      </c>
      <c r="E490" s="336" t="s">
        <v>1137</v>
      </c>
      <c r="F490" s="336" t="s">
        <v>1141</v>
      </c>
    </row>
    <row r="491" spans="1:6" ht="24" customHeight="1">
      <c r="A491" s="336" t="s">
        <v>1134</v>
      </c>
      <c r="B491" s="336" t="s">
        <v>1135</v>
      </c>
      <c r="C491" s="336" t="s">
        <v>1139</v>
      </c>
      <c r="D491" s="336" t="s">
        <v>1142</v>
      </c>
      <c r="E491" s="336" t="s">
        <v>1137</v>
      </c>
      <c r="F491" s="336" t="s">
        <v>1141</v>
      </c>
    </row>
    <row r="492" spans="1:6" ht="24" customHeight="1">
      <c r="A492" s="336" t="s">
        <v>1134</v>
      </c>
      <c r="B492" s="336" t="s">
        <v>1135</v>
      </c>
      <c r="C492" s="336" t="s">
        <v>1143</v>
      </c>
      <c r="D492" s="336" t="s">
        <v>1144</v>
      </c>
      <c r="E492" s="336" t="s">
        <v>1137</v>
      </c>
      <c r="F492" s="336" t="s">
        <v>1145</v>
      </c>
    </row>
    <row r="493" spans="1:6" ht="24" customHeight="1">
      <c r="A493" s="336" t="s">
        <v>1134</v>
      </c>
      <c r="B493" s="336" t="s">
        <v>1135</v>
      </c>
      <c r="C493" s="336" t="s">
        <v>1146</v>
      </c>
      <c r="D493" s="336" t="s">
        <v>1147</v>
      </c>
      <c r="E493" s="336" t="s">
        <v>1137</v>
      </c>
      <c r="F493" s="336" t="s">
        <v>1148</v>
      </c>
    </row>
    <row r="494" spans="1:6" ht="24" customHeight="1">
      <c r="A494" s="336" t="s">
        <v>1134</v>
      </c>
      <c r="B494" s="336" t="s">
        <v>1135</v>
      </c>
      <c r="C494" s="336" t="s">
        <v>1149</v>
      </c>
      <c r="D494" s="336" t="s">
        <v>1150</v>
      </c>
      <c r="E494" s="336" t="s">
        <v>1137</v>
      </c>
      <c r="F494" s="336" t="s">
        <v>1151</v>
      </c>
    </row>
    <row r="495" spans="1:6" ht="24" customHeight="1">
      <c r="A495" s="336" t="s">
        <v>1134</v>
      </c>
      <c r="B495" s="336" t="s">
        <v>1135</v>
      </c>
      <c r="C495" s="336" t="s">
        <v>1149</v>
      </c>
      <c r="D495" s="336" t="s">
        <v>1152</v>
      </c>
      <c r="E495" s="336" t="s">
        <v>1137</v>
      </c>
      <c r="F495" s="336" t="s">
        <v>1151</v>
      </c>
    </row>
    <row r="496" spans="1:6" ht="24" customHeight="1">
      <c r="A496" s="336" t="s">
        <v>1134</v>
      </c>
      <c r="B496" s="336" t="s">
        <v>1135</v>
      </c>
      <c r="C496" s="336" t="s">
        <v>1153</v>
      </c>
      <c r="D496" s="336" t="s">
        <v>498</v>
      </c>
      <c r="E496" s="336" t="s">
        <v>1137</v>
      </c>
      <c r="F496" s="336" t="s">
        <v>1154</v>
      </c>
    </row>
    <row r="497" spans="1:6" ht="24" customHeight="1">
      <c r="A497" s="336" t="s">
        <v>1134</v>
      </c>
      <c r="B497" s="336" t="s">
        <v>1135</v>
      </c>
      <c r="C497" s="336" t="s">
        <v>1153</v>
      </c>
      <c r="D497" s="336" t="s">
        <v>501</v>
      </c>
      <c r="E497" s="336" t="s">
        <v>1137</v>
      </c>
      <c r="F497" s="336" t="s">
        <v>1154</v>
      </c>
    </row>
    <row r="498" spans="1:6" ht="24" customHeight="1">
      <c r="A498" s="336" t="s">
        <v>1134</v>
      </c>
      <c r="B498" s="336" t="s">
        <v>1135</v>
      </c>
      <c r="C498" s="336" t="s">
        <v>1155</v>
      </c>
      <c r="D498" s="336" t="s">
        <v>1156</v>
      </c>
      <c r="E498" s="336" t="s">
        <v>1137</v>
      </c>
      <c r="F498" s="336" t="s">
        <v>1157</v>
      </c>
    </row>
    <row r="499" spans="1:6" ht="24" customHeight="1">
      <c r="A499" s="336" t="s">
        <v>1134</v>
      </c>
      <c r="B499" s="336" t="s">
        <v>1135</v>
      </c>
      <c r="C499" s="336" t="s">
        <v>1155</v>
      </c>
      <c r="D499" s="336" t="s">
        <v>1158</v>
      </c>
      <c r="E499" s="336" t="s">
        <v>1137</v>
      </c>
      <c r="F499" s="336" t="s">
        <v>1157</v>
      </c>
    </row>
    <row r="500" spans="1:6" ht="24" customHeight="1">
      <c r="A500" s="336" t="s">
        <v>1134</v>
      </c>
      <c r="B500" s="336" t="s">
        <v>1135</v>
      </c>
      <c r="C500" s="336" t="s">
        <v>1155</v>
      </c>
      <c r="D500" s="336" t="s">
        <v>1159</v>
      </c>
      <c r="E500" s="336" t="s">
        <v>1137</v>
      </c>
      <c r="F500" s="336" t="s">
        <v>1157</v>
      </c>
    </row>
    <row r="501" spans="1:6" ht="24" customHeight="1">
      <c r="A501" s="336" t="s">
        <v>1134</v>
      </c>
      <c r="B501" s="336" t="s">
        <v>1135</v>
      </c>
      <c r="C501" s="336" t="s">
        <v>1160</v>
      </c>
      <c r="D501" s="336" t="s">
        <v>506</v>
      </c>
      <c r="E501" s="336" t="s">
        <v>1137</v>
      </c>
      <c r="F501" s="336" t="s">
        <v>1161</v>
      </c>
    </row>
    <row r="502" spans="1:6" ht="24" customHeight="1">
      <c r="A502" s="336" t="s">
        <v>1134</v>
      </c>
      <c r="B502" s="336" t="s">
        <v>1135</v>
      </c>
      <c r="C502" s="336" t="s">
        <v>1160</v>
      </c>
      <c r="D502" s="336" t="s">
        <v>509</v>
      </c>
      <c r="E502" s="336" t="s">
        <v>1137</v>
      </c>
      <c r="F502" s="336" t="s">
        <v>1161</v>
      </c>
    </row>
    <row r="503" spans="1:6" ht="24" customHeight="1">
      <c r="A503" s="336" t="s">
        <v>1134</v>
      </c>
      <c r="B503" s="336" t="s">
        <v>1135</v>
      </c>
      <c r="C503" s="336" t="s">
        <v>1160</v>
      </c>
      <c r="D503" s="336" t="s">
        <v>512</v>
      </c>
      <c r="E503" s="336" t="s">
        <v>1137</v>
      </c>
      <c r="F503" s="336" t="s">
        <v>1161</v>
      </c>
    </row>
    <row r="504" spans="1:6" ht="24" customHeight="1">
      <c r="A504" s="336" t="s">
        <v>1134</v>
      </c>
      <c r="B504" s="336" t="s">
        <v>1135</v>
      </c>
      <c r="C504" s="336" t="s">
        <v>1160</v>
      </c>
      <c r="D504" s="336" t="s">
        <v>515</v>
      </c>
      <c r="E504" s="336" t="s">
        <v>1137</v>
      </c>
      <c r="F504" s="336" t="s">
        <v>1161</v>
      </c>
    </row>
    <row r="505" spans="1:6" ht="24" customHeight="1">
      <c r="A505" s="336" t="s">
        <v>1134</v>
      </c>
      <c r="B505" s="336" t="s">
        <v>1135</v>
      </c>
      <c r="C505" s="336" t="s">
        <v>1160</v>
      </c>
      <c r="D505" s="336" t="s">
        <v>518</v>
      </c>
      <c r="E505" s="336" t="s">
        <v>1137</v>
      </c>
      <c r="F505" s="336" t="s">
        <v>1161</v>
      </c>
    </row>
    <row r="506" spans="1:6" ht="24" customHeight="1">
      <c r="A506" s="336" t="s">
        <v>1134</v>
      </c>
      <c r="B506" s="336" t="s">
        <v>1135</v>
      </c>
      <c r="C506" s="336" t="s">
        <v>1160</v>
      </c>
      <c r="D506" s="336" t="s">
        <v>521</v>
      </c>
      <c r="E506" s="336" t="s">
        <v>1137</v>
      </c>
      <c r="F506" s="336" t="s">
        <v>1161</v>
      </c>
    </row>
    <row r="507" spans="1:6" ht="24" customHeight="1">
      <c r="A507" s="336" t="s">
        <v>1134</v>
      </c>
      <c r="B507" s="336" t="s">
        <v>1135</v>
      </c>
      <c r="C507" s="336" t="s">
        <v>1162</v>
      </c>
      <c r="D507" s="336" t="s">
        <v>1163</v>
      </c>
      <c r="E507" s="336" t="s">
        <v>1137</v>
      </c>
      <c r="F507" s="336" t="s">
        <v>1164</v>
      </c>
    </row>
    <row r="508" spans="1:6" ht="24" customHeight="1">
      <c r="A508" s="336" t="s">
        <v>1134</v>
      </c>
      <c r="B508" s="336" t="s">
        <v>1135</v>
      </c>
      <c r="C508" s="336" t="s">
        <v>1165</v>
      </c>
      <c r="D508" s="336" t="s">
        <v>1166</v>
      </c>
      <c r="E508" s="336" t="s">
        <v>1137</v>
      </c>
      <c r="F508" s="336" t="s">
        <v>1167</v>
      </c>
    </row>
    <row r="509" spans="1:6" ht="24" customHeight="1">
      <c r="A509" s="336" t="s">
        <v>1134</v>
      </c>
      <c r="B509" s="336" t="s">
        <v>1135</v>
      </c>
      <c r="C509" s="336" t="s">
        <v>1168</v>
      </c>
      <c r="D509" s="336" t="s">
        <v>1169</v>
      </c>
      <c r="E509" s="336" t="s">
        <v>1137</v>
      </c>
      <c r="F509" s="336" t="s">
        <v>1170</v>
      </c>
    </row>
    <row r="510" spans="1:6" ht="24" customHeight="1">
      <c r="A510" s="336" t="s">
        <v>1134</v>
      </c>
      <c r="B510" s="336" t="s">
        <v>1135</v>
      </c>
      <c r="C510" s="336" t="s">
        <v>1168</v>
      </c>
      <c r="D510" s="336" t="s">
        <v>1171</v>
      </c>
      <c r="E510" s="336" t="s">
        <v>1137</v>
      </c>
      <c r="F510" s="336" t="s">
        <v>1170</v>
      </c>
    </row>
    <row r="511" spans="1:6" ht="24" customHeight="1">
      <c r="A511" s="336" t="s">
        <v>1134</v>
      </c>
      <c r="B511" s="336" t="s">
        <v>1135</v>
      </c>
      <c r="C511" s="336" t="s">
        <v>1172</v>
      </c>
      <c r="D511" s="336" t="s">
        <v>1173</v>
      </c>
      <c r="E511" s="336" t="s">
        <v>1137</v>
      </c>
      <c r="F511" s="336" t="s">
        <v>1174</v>
      </c>
    </row>
    <row r="512" spans="1:6" ht="24" customHeight="1">
      <c r="A512" s="336" t="s">
        <v>1134</v>
      </c>
      <c r="B512" s="336" t="s">
        <v>1135</v>
      </c>
      <c r="C512" s="336" t="s">
        <v>1172</v>
      </c>
      <c r="D512" s="336" t="s">
        <v>1175</v>
      </c>
      <c r="E512" s="336" t="s">
        <v>1137</v>
      </c>
      <c r="F512" s="336" t="s">
        <v>1174</v>
      </c>
    </row>
    <row r="513" spans="1:6" ht="24" customHeight="1">
      <c r="A513" s="336" t="s">
        <v>1134</v>
      </c>
      <c r="B513" s="336" t="s">
        <v>1135</v>
      </c>
      <c r="C513" s="336" t="s">
        <v>1176</v>
      </c>
      <c r="D513" s="336" t="s">
        <v>1177</v>
      </c>
      <c r="E513" s="336" t="s">
        <v>1137</v>
      </c>
      <c r="F513" s="336" t="s">
        <v>1178</v>
      </c>
    </row>
    <row r="514" spans="1:6" ht="24" customHeight="1">
      <c r="A514" s="336" t="s">
        <v>1134</v>
      </c>
      <c r="B514" s="336" t="s">
        <v>1135</v>
      </c>
      <c r="C514" s="336" t="s">
        <v>1179</v>
      </c>
      <c r="D514" s="336" t="s">
        <v>1180</v>
      </c>
      <c r="E514" s="336" t="s">
        <v>1137</v>
      </c>
      <c r="F514" s="336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12</vt:i4>
      </vt:variant>
    </vt:vector>
  </HeadingPairs>
  <TitlesOfParts>
    <vt:vector size="37" baseType="lpstr">
      <vt:lpstr>Guideline</vt:lpstr>
      <vt:lpstr>Cover</vt:lpstr>
      <vt:lpstr>Functions</vt:lpstr>
      <vt:lpstr>Statistics</vt:lpstr>
      <vt:lpstr>Example</vt:lpstr>
      <vt:lpstr>UT-01</vt:lpstr>
      <vt:lpstr>UT-02</vt:lpstr>
      <vt:lpstr>UT-03</vt:lpstr>
      <vt:lpstr>UT-04</vt:lpstr>
      <vt:lpstr>UT-05</vt:lpstr>
      <vt:lpstr>UT-06</vt:lpstr>
      <vt:lpstr>UT-07</vt:lpstr>
      <vt:lpstr>UT-08</vt:lpstr>
      <vt:lpstr>UT-09</vt:lpstr>
      <vt:lpstr>UT-10</vt:lpstr>
      <vt:lpstr>UT-11</vt:lpstr>
      <vt:lpstr>UT-12</vt:lpstr>
      <vt:lpstr>UT-13</vt:lpstr>
      <vt:lpstr>UT-14</vt:lpstr>
      <vt:lpstr>UT-15</vt:lpstr>
      <vt:lpstr>UT-16</vt:lpstr>
      <vt:lpstr>UT-17</vt:lpstr>
      <vt:lpstr>UT-18</vt:lpstr>
      <vt:lpstr>UT-19</vt:lpstr>
      <vt:lpstr>Source evidence</vt:lpstr>
      <vt:lpstr>'UT-01'!Z_2C0D9096_8D85_462A_A9B5_0B488ADB4269__wvu_Cols</vt:lpstr>
      <vt:lpstr>'UT-02'!Z_2C0D9096_8D85_462A_A9B5_0B488ADB4269__wvu_Cols</vt:lpstr>
      <vt:lpstr>'UT-03'!Z_2C0D9096_8D85_462A_A9B5_0B488ADB4269__wvu_Cols</vt:lpstr>
      <vt:lpstr>Statistics!Z_2C0D9096_8D85_462A_A9B5_0B488ADB4269__wvu_PrintArea</vt:lpstr>
      <vt:lpstr>'UT-01'!Z_6F1DCD5D_5DAC_4817_BF40_2B66F6F593E6__wvu_Cols</vt:lpstr>
      <vt:lpstr>'UT-02'!Z_6F1DCD5D_5DAC_4817_BF40_2B66F6F593E6__wvu_Cols</vt:lpstr>
      <vt:lpstr>'UT-03'!Z_6F1DCD5D_5DAC_4817_BF40_2B66F6F593E6__wvu_Cols</vt:lpstr>
      <vt:lpstr>Statistics!Z_6F1DCD5D_5DAC_4817_BF40_2B66F6F593E6__wvu_PrintArea</vt:lpstr>
      <vt:lpstr>'UT-01'!Z_BE54E0AD_3725_4423_92D7_4F1C045BE1BC__wvu_Cols</vt:lpstr>
      <vt:lpstr>'UT-02'!Z_BE54E0AD_3725_4423_92D7_4F1C045BE1BC__wvu_Cols</vt:lpstr>
      <vt:lpstr>'UT-03'!Z_BE54E0AD_3725_4423_92D7_4F1C045BE1BC__wvu_Cols</vt:lpstr>
      <vt:lpstr>Statistics!Z_BE54E0AD_3725_4423_92D7_4F1C045BE1BC__wvu_PrintArea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Huntman</dc:creator>
  <cp:lastModifiedBy>Zack Huntman</cp:lastModifiedBy>
  <dcterms:created xsi:type="dcterms:W3CDTF">2026-10-31T01:31:23Z</dcterms:created>
  <dcterms:modified xsi:type="dcterms:W3CDTF">2026-10-31T02:48:03Z</dcterms:modified>
</cp:coreProperties>
</file>