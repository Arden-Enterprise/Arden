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iqu\Downloads\"/>
    </mc:Choice>
  </mc:AlternateContent>
  <xr:revisionPtr revIDLastSave="0" documentId="13_ncr:1_{0F891F31-01A8-4073-809B-D8D9F9EF7E3D}" xr6:coauthVersionLast="47" xr6:coauthVersionMax="47" xr10:uidLastSave="{00000000-0000-0000-0000-000000000000}"/>
  <bookViews>
    <workbookView xWindow="38190" yWindow="-13590" windowWidth="21810" windowHeight="15345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  <sheet name="Feature 3" sheetId="10" r:id="rId6"/>
    <sheet name="Feature 4" sheetId="11" r:id="rId7"/>
    <sheet name="Feature 5" sheetId="12" r:id="rId8"/>
    <sheet name="Feature 6" sheetId="13" r:id="rId9"/>
    <sheet name="Feature 7" sheetId="14" r:id="rId10"/>
    <sheet name="Feature 8" sheetId="15" r:id="rId11"/>
    <sheet name="Feature 9" sheetId="16" r:id="rId12"/>
    <sheet name="Planned Scenarios" sheetId="17" r:id="rId13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7" l="1"/>
  <c r="D8" i="17"/>
  <c r="C8" i="17"/>
  <c r="B8" i="17"/>
  <c r="E7" i="17"/>
  <c r="D7" i="17"/>
  <c r="C7" i="17"/>
  <c r="B7" i="17"/>
  <c r="E6" i="17"/>
  <c r="D6" i="17"/>
  <c r="C6" i="17"/>
  <c r="B6" i="17"/>
  <c r="B4" i="17"/>
  <c r="E8" i="16"/>
  <c r="D8" i="16"/>
  <c r="C8" i="16"/>
  <c r="B8" i="16"/>
  <c r="E7" i="16"/>
  <c r="D7" i="16"/>
  <c r="C7" i="16"/>
  <c r="B7" i="16"/>
  <c r="E6" i="16"/>
  <c r="G19" i="5" s="1"/>
  <c r="D6" i="16"/>
  <c r="F19" i="5" s="1"/>
  <c r="C6" i="16"/>
  <c r="E19" i="5" s="1"/>
  <c r="B6" i="16"/>
  <c r="D19" i="5" s="1"/>
  <c r="B4" i="16"/>
  <c r="H19" i="5" s="1"/>
  <c r="E8" i="15"/>
  <c r="D8" i="15"/>
  <c r="C8" i="15"/>
  <c r="B8" i="15"/>
  <c r="E7" i="15"/>
  <c r="D7" i="15"/>
  <c r="C7" i="15"/>
  <c r="B7" i="15"/>
  <c r="E6" i="15"/>
  <c r="G18" i="5" s="1"/>
  <c r="D6" i="15"/>
  <c r="F18" i="5" s="1"/>
  <c r="C6" i="15"/>
  <c r="E18" i="5" s="1"/>
  <c r="B6" i="15"/>
  <c r="D18" i="5" s="1"/>
  <c r="B4" i="15"/>
  <c r="H18" i="5" s="1"/>
  <c r="E8" i="14"/>
  <c r="D8" i="14"/>
  <c r="C8" i="14"/>
  <c r="B8" i="14"/>
  <c r="E7" i="14"/>
  <c r="D7" i="14"/>
  <c r="C7" i="14"/>
  <c r="B7" i="14"/>
  <c r="E6" i="14"/>
  <c r="G17" i="5" s="1"/>
  <c r="D6" i="14"/>
  <c r="F17" i="5" s="1"/>
  <c r="C6" i="14"/>
  <c r="E17" i="5" s="1"/>
  <c r="B6" i="14"/>
  <c r="D17" i="5" s="1"/>
  <c r="B4" i="14"/>
  <c r="H17" i="5" s="1"/>
  <c r="E8" i="13"/>
  <c r="D8" i="13"/>
  <c r="C8" i="13"/>
  <c r="B8" i="13"/>
  <c r="E7" i="13"/>
  <c r="D7" i="13"/>
  <c r="C7" i="13"/>
  <c r="B7" i="13"/>
  <c r="E6" i="13"/>
  <c r="G16" i="5" s="1"/>
  <c r="D6" i="13"/>
  <c r="F16" i="5" s="1"/>
  <c r="C6" i="13"/>
  <c r="E16" i="5" s="1"/>
  <c r="B6" i="13"/>
  <c r="D16" i="5" s="1"/>
  <c r="B4" i="13"/>
  <c r="H16" i="5" s="1"/>
  <c r="E8" i="12"/>
  <c r="D8" i="12"/>
  <c r="C8" i="12"/>
  <c r="B8" i="12"/>
  <c r="E7" i="12"/>
  <c r="D7" i="12"/>
  <c r="C7" i="12"/>
  <c r="B7" i="12"/>
  <c r="E6" i="12"/>
  <c r="G15" i="5" s="1"/>
  <c r="D6" i="12"/>
  <c r="F15" i="5" s="1"/>
  <c r="C6" i="12"/>
  <c r="E15" i="5" s="1"/>
  <c r="B6" i="12"/>
  <c r="D15" i="5" s="1"/>
  <c r="B4" i="12"/>
  <c r="H15" i="5" s="1"/>
  <c r="E8" i="11"/>
  <c r="D8" i="11"/>
  <c r="C8" i="11"/>
  <c r="B8" i="11"/>
  <c r="E7" i="11"/>
  <c r="D7" i="11"/>
  <c r="C7" i="11"/>
  <c r="B7" i="11"/>
  <c r="E6" i="11"/>
  <c r="G14" i="5" s="1"/>
  <c r="D6" i="11"/>
  <c r="F14" i="5" s="1"/>
  <c r="C6" i="11"/>
  <c r="E14" i="5" s="1"/>
  <c r="B6" i="11"/>
  <c r="D14" i="5" s="1"/>
  <c r="B4" i="11"/>
  <c r="H14" i="5" s="1"/>
  <c r="E8" i="10"/>
  <c r="D8" i="10"/>
  <c r="C8" i="10"/>
  <c r="B8" i="10"/>
  <c r="E7" i="10"/>
  <c r="D7" i="10"/>
  <c r="C7" i="10"/>
  <c r="B7" i="10"/>
  <c r="E6" i="10"/>
  <c r="G13" i="5" s="1"/>
  <c r="D6" i="10"/>
  <c r="F13" i="5" s="1"/>
  <c r="C6" i="10"/>
  <c r="E13" i="5" s="1"/>
  <c r="B6" i="10"/>
  <c r="D13" i="5" s="1"/>
  <c r="B4" i="10"/>
  <c r="H13" i="5" s="1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8" i="3"/>
  <c r="D8" i="3"/>
  <c r="C8" i="3"/>
  <c r="B8" i="3"/>
  <c r="E7" i="3"/>
  <c r="D7" i="3"/>
  <c r="C7" i="3"/>
  <c r="B7" i="3"/>
  <c r="E6" i="3"/>
  <c r="G11" i="5" s="1"/>
  <c r="D6" i="3"/>
  <c r="F11" i="5" s="1"/>
  <c r="C6" i="3"/>
  <c r="E11" i="5" s="1"/>
  <c r="B6" i="3"/>
  <c r="D11" i="5" s="1"/>
  <c r="B4" i="3"/>
  <c r="H11" i="5" s="1"/>
  <c r="C19" i="5"/>
  <c r="C18" i="5"/>
  <c r="C17" i="5"/>
  <c r="C16" i="5"/>
  <c r="C15" i="5"/>
  <c r="C14" i="5"/>
  <c r="C13" i="5"/>
  <c r="C12" i="5"/>
  <c r="C11" i="5"/>
  <c r="C4" i="5"/>
  <c r="C3" i="5"/>
  <c r="D4" i="2"/>
  <c r="D3" i="2"/>
  <c r="B6" i="9"/>
  <c r="C5" i="5" s="1"/>
  <c r="G21" i="5" l="1"/>
  <c r="D21" i="5"/>
  <c r="F21" i="5"/>
  <c r="H21" i="5"/>
  <c r="E21" i="5"/>
  <c r="E24" i="5" l="1"/>
  <c r="E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rFont val="ＭＳ Ｐゴシック"/>
          </rPr>
          <t>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<sst xmlns="http://schemas.openxmlformats.org/spreadsheetml/2006/main" count="3917" uniqueCount="2345">
  <si>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</si>
  <si>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</si>
  <si>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</si>
  <si>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</si>
  <si>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</si>
  <si>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</si>
  <si>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</si>
  <si>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</si>
  <si>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</si>
  <si>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</si>
  <si>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</si>
  <si>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</si>
  <si>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</si>
  <si>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</si>
  <si>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</si>
  <si>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</si>
  <si>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</si>
  <si>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</si>
  <si>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</si>
  <si>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</si>
  <si>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</si>
  <si>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</si>
  <si>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</si>
  <si>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</si>
  <si>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</si>
  <si>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</si>
  <si>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</si>
  <si>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Number of  test cases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</si>
  <si>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</si>
  <si>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</si>
  <si>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</si>
  <si>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</si>
  <si>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</si>
  <si>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</si>
  <si>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</si>
  <si>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</si>
  <si>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</si>
  <si>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</si>
  <si>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</si>
  <si>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</si>
  <si>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</si>
  <si>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</si>
  <si>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</si>
  <si>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Arden</t>
  </si>
  <si>
    <t>Arden project team</t>
  </si>
  <si>
    <t>ARDEN</t>
  </si>
  <si>
    <t>31 October 2026</t>
  </si>
  <si>
    <t>1.2</t>
  </si>
  <si>
    <t>Expanded automated checkout</t>
  </si>
  <si>
    <t>M</t>
  </si>
  <si>
    <t>Checked source definitions on feat/workspace-shell-polish at commit 045a7b5b07c4746f32d447eb707c026d875016ef. All 387 Node/Vitest checks are individually listed in nine feature sheets. Reported: 380 passed; 7 API live-integration tests skipped for unconfigured Supabase or arden_test_* PostgreSQL; 0 failed. Fifty separate manually designed scenarios remain Pending and are not counted in automated totals.</t>
  </si>
  <si>
    <t>UI Account &amp; Org</t>
  </si>
  <si>
    <t>Feature1</t>
  </si>
  <si>
    <t>Account, Invitations and Organization Management (70 source-defined automated tests).</t>
  </si>
  <si>
    <t>UI view-model and component tests covering login, membership, invitations, organization governance and copy.</t>
  </si>
  <si>
    <t>UI Knowledge/Notes</t>
  </si>
  <si>
    <t>Feature2</t>
  </si>
  <si>
    <t>Private Notes, Knowledge Library and Reader Experience (63 source-defined automated tests).</t>
  </si>
  <si>
    <t>UI tests for documents, drafts, review surfaces, knowledge states, PDF and citation presentation.</t>
  </si>
  <si>
    <t>UI Workspace</t>
  </si>
  <si>
    <t>Feature3</t>
  </si>
  <si>
    <t>Workspace Navigation and Shared UI Behaviors (35 source-defined automated tests).</t>
  </si>
  <si>
    <t>Workspace shell, application API client, cancellation, navigation and shared UI-contract checks.</t>
  </si>
  <si>
    <t>API Auth &amp; App</t>
  </si>
  <si>
    <t>Feature4</t>
  </si>
  <si>
    <t>API App, Authentication and Email (74 source-defined automated tests).</t>
  </si>
  <si>
    <t>API application requests, authentication, local/dev identity constraints and SMTP behavior.</t>
  </si>
  <si>
    <t>API Knowledge</t>
  </si>
  <si>
    <t>Feature5</t>
  </si>
  <si>
    <t>API Knowledge Governance and Answers (36 source-defined automated tests).</t>
  </si>
  <si>
    <t>Knowledge policy, review decisions/queues, evidence contracts and source citations.</t>
  </si>
  <si>
    <t>API Data &amp; Index</t>
  </si>
  <si>
    <t>Feature6</t>
  </si>
  <si>
    <t>API Repository, Migrations, Private Storage and Indexing (33 source-defined automated tests).</t>
  </si>
  <si>
    <t>Database authorization, migrations, content storage, indexing worker and contract tests.</t>
  </si>
  <si>
    <t>Desktop &amp; Domain</t>
  </si>
  <si>
    <t>Feature7</t>
  </si>
  <si>
    <t>Desktop Request Protection and Domain Semantics (12 source-defined automated tests).</t>
  </si>
  <si>
    <t>Electron request policy checks and shared domain semantic-document validation.</t>
  </si>
  <si>
    <t>Remote Workflow</t>
  </si>
  <si>
    <t>Feature8</t>
  </si>
  <si>
    <t>Remote Workflow and Exclusive-Lease Protection (16 source-defined automated tests).</t>
  </si>
  <si>
    <t>Remote session orchestration, safe failure handling and frontend/backend startup sequence.</t>
  </si>
  <si>
    <t>Release &amp; PR</t>
  </si>
  <si>
    <t>Feature9</t>
  </si>
  <si>
    <t>Release Pipeline, Migration, Transport and PR Guardrails (48 source-defined automated tests).</t>
  </si>
  <si>
    <t>Release and pull-request tooling, version identity, migrations and bounded deployment transport.</t>
  </si>
  <si>
    <t>Manual Test Design</t>
  </si>
  <si>
    <t>Manual Plan</t>
  </si>
  <si>
    <t>50 supplemental manual scenarios; planned, not part of the 387 executed/skip test inventory.</t>
  </si>
  <si>
    <t>Execution receipt not provided; all cases remain Pending.</t>
  </si>
  <si>
    <t>Source SHA pinned</t>
  </si>
  <si>
    <t>Skipped</t>
  </si>
  <si>
    <t>Sub total</t>
  </si>
  <si>
    <t>Test coverage</t>
  </si>
  <si>
    <t>%</t>
  </si>
  <si>
    <t>Test successful coverage</t>
  </si>
  <si>
    <t>adminDetailIslands (4)</t>
  </si>
  <si>
    <t>AT-001</t>
  </si>
  <si>
    <t>shows the end date for a grant that expires</t>
  </si>
  <si>
    <t>1. Load the source-defined test fixtures.
2. Run this check using the configured repository test runner.
3. Exercise: shows the end date for a grant that expires
4. Verify the test's assertions and side effects.</t>
  </si>
  <si>
    <t>shows the end date for a grant that expires.
Expected UI text, state and presentation appear in the test assertions.</t>
  </si>
  <si>
    <t>Repository UI test fixtures; component/model mocks and test runner configured as in source.</t>
  </si>
  <si>
    <t>AT-002</t>
  </si>
  <si>
    <t>shows the start date for an open-ended grant</t>
  </si>
  <si>
    <t>1. Load the source-defined test fixtures.
2. Run this check using the configured repository test runner.
3. Exercise: shows the start date for an open-ended grant
4. Verify the test's assertions and side effects.</t>
  </si>
  <si>
    <t>shows the start date for an open-ended grant.
Expected UI text, state and presentation appear in the test assertions.</t>
  </si>
  <si>
    <t>AT-003</t>
  </si>
  <si>
    <t>describes department and organization scopes</t>
  </si>
  <si>
    <t>1. Load the source-defined test fixtures.
2. Run this check using the configured repository test runner.
3. Exercise: describes department and organization scopes
4. Verify the test's assertions and side effects.</t>
  </si>
  <si>
    <t>describes department and organization scopes.
All declared source assertions and state checks satisfy the named behavior.</t>
  </si>
  <si>
    <t>AT-004</t>
  </si>
  <si>
    <t>does not label an unassigned organization administrator as awaiting assignment</t>
  </si>
  <si>
    <t>1. Load the source-defined test fixtures.
2. Run this check using the configured repository test runner.
3. Exercise: does not label an unassigned organization administrator as awaiting assignment
4. Verify the test's assertions and side effects.</t>
  </si>
  <si>
    <t>does not label an unassigned organization administrator as awaiting assignment.
The named invariant holds under the exercised input.</t>
  </si>
  <si>
    <t>invitationFeedback (5)</t>
  </si>
  <si>
    <t>AT-005</t>
  </si>
  <si>
    <t>returns an acceptance error for the shared signed-in and signed-out page area</t>
  </si>
  <si>
    <t>1. Load the source-defined test fixtures.
2. Run this check using the configured repository test runner.
3. Exercise: returns an acceptance error for the shared signed-in and signed-out page area
4. Verify the test's assertions and side effects.</t>
  </si>
  <si>
    <t>returns an acceptance error for the shared signed-in and signed-out page area.
The response or exposed contract matches the expected fixture and assertions.</t>
  </si>
  <si>
    <t>AT-006</t>
  </si>
  <si>
    <t>shows a success message when no error is present</t>
  </si>
  <si>
    <t>1. Load the source-defined test fixtures.
2. Run this check using the configured repository test runner.
3. Exercise: shows a success message when no error is present
4. Verify the test's assertions and side effects.</t>
  </si>
  <si>
    <t>shows a success message when no error is present.
Expected UI text, state and presentation appear in the test assertions.</t>
  </si>
  <si>
    <t>AT-007</t>
  </si>
  <si>
    <t>does not render empty feedback</t>
  </si>
  <si>
    <t>1. Load the source-defined test fixtures.
2. Run this check using the configured repository test runner.
3. Exercise: does not render empty feedback
4. Verify the test's assertions and side effects.</t>
  </si>
  <si>
    <t>does not render empty feedback.
The named invariant holds under the exercised input.</t>
  </si>
  <si>
    <t>AT-008</t>
  </si>
  <si>
    <t>keeps an acceptance error visible after sign-in and leaves the retry action available</t>
  </si>
  <si>
    <t>1. Load the source-defined test fixtures.
2. Run this check using the configured repository test runner.
3. Exercise: keeps an acceptance error visible after sign-in and leaves the retry action available
4. Verify the test's assertions and side effects.</t>
  </si>
  <si>
    <t>keeps an acceptance error visible after sign-in and leaves the retry action available.
The named invariant holds under the exercised input.</t>
  </si>
  <si>
    <t>AT-009</t>
  </si>
  <si>
    <t>does not call an invitation unavailable when its acceptance response is lost</t>
  </si>
  <si>
    <t>1. Load the source-defined test fixtures.
2. Run this check using the configured repository test runner.
3. Exercise: does not call an invitation unavailable when its acceptance response is lost
4. Verify the test's assertions and side effects.</t>
  </si>
  <si>
    <t>does not call an invitation unavailable when its acceptance response is lost.
The named invariant holds under the exercised input.</t>
  </si>
  <si>
    <t>invitationStatus (3)</t>
  </si>
  <si>
    <t>AT-010</t>
  </si>
  <si>
    <t>treats a pending invitation past expiry as expired</t>
  </si>
  <si>
    <t>1. Load the source-defined test fixtures.
2. Run this check using the configured repository test runner.
3. Exercise: treats a pending invitation past expiry as expired
4. Verify the test's assertions and side effects.</t>
  </si>
  <si>
    <t>treats a pending invitation past expiry as expired.
All declared source assertions and state checks satisfy the named behavior.</t>
  </si>
  <si>
    <t>AT-011</t>
  </si>
  <si>
    <t>keeps server outcomes and maps unknown statuses to revoked</t>
  </si>
  <si>
    <t>1. Load the source-defined test fixtures.
2. Run this check using the configured repository test runner.
3. Exercise: keeps server outcomes and maps unknown statuses to revoked
4. Verify the test's assertions and side effects.</t>
  </si>
  <si>
    <t>keeps server outcomes and maps unknown statuses to revoked.
The named invariant holds under the exercised input.</t>
  </si>
  <si>
    <t>AT-012</t>
  </si>
  <si>
    <t>counts every invitation once and orders actionable ones first</t>
  </si>
  <si>
    <t>1. Load the source-defined test fixtures.
2. Run this check using the configured repository test runner.
3. Exercise: counts every invitation once and orders actionable ones first
4. Verify the test's assertions and side effects.</t>
  </si>
  <si>
    <t>counts every invitation once and orders actionable ones first.
All declared source assertions and state checks satisfy the named behavior.</t>
  </si>
  <si>
    <t>memberAdministration (6)</t>
  </si>
  <si>
    <t>AT-013</t>
  </si>
  <si>
    <t>keeps organization administrators available in the member manager</t>
  </si>
  <si>
    <t>1. Load the source-defined test fixtures.
2. Run this check using the configured repository test runner.
3. Exercise: keeps organization administrators available in the member manager
4. Verify the test's assertions and side effects.</t>
  </si>
  <si>
    <t>keeps organization administrators available in the member manager.
The named invariant holds under the exercised input.</t>
  </si>
  <si>
    <t>AT-014</t>
  </si>
  <si>
    <t>includes organization administrators whose department membership is affected by deletion</t>
  </si>
  <si>
    <t>1. Load the source-defined test fixtures.
2. Run this check using the configured repository test runner.
3. Exercise: includes organization administrators whose department membership is affected by deletion
4. Verify the test's assertions and side effects.</t>
  </si>
  <si>
    <t>includes organization administrators whose department membership is affected by deletion.
All declared source assertions and state checks satisfy the named behavior.</t>
  </si>
  <si>
    <t>AT-015</t>
  </si>
  <si>
    <t>does not classify an unassigned organization administrator as waiting for assignment</t>
  </si>
  <si>
    <t>1. Load the source-defined test fixtures.
2. Run this check using the configured repository test runner.
3. Exercise: does not classify an unassigned organization administrator as waiting for assignment
4. Verify the test's assertions and side effects.</t>
  </si>
  <si>
    <t>does not classify an unassigned organization administrator as waiting for assignment.
The named invariant holds under the exercised input.</t>
  </si>
  <si>
    <t>AT-016</t>
  </si>
  <si>
    <t>shows active unassigned members only in the awaiting-assignment filter</t>
  </si>
  <si>
    <t>1. Load the source-defined test fixtures.
2. Run this check using the configured repository test runner.
3. Exercise: shows active unassigned members only in the awaiting-assignment filter
4. Verify the test's assertions and side effects.</t>
  </si>
  <si>
    <t>shows active unassigned members only in the awaiting-assignment filter.
Expected UI text, state and presentation appear in the test assertions.</t>
  </si>
  <si>
    <t>AT-017</t>
  </si>
  <si>
    <t>does not treat a custom role named Department Administrator as an organization admin</t>
  </si>
  <si>
    <t>1. Load the source-defined test fixtures.
2. Run this check using the configured repository test runner.
3. Exercise: does not treat a custom role named Department Administrator as an organization admin
4. Verify the test's assertions and side effects.</t>
  </si>
  <si>
    <t>does not treat a custom role named Department Administrator as an organization admin.
The named invariant holds under the exercised input.</t>
  </si>
  <si>
    <t>AT-018</t>
  </si>
  <si>
    <t>keeps the assignment and access consequences of department deletion</t>
  </si>
  <si>
    <t>1. Load the source-defined test fixtures.
2. Run this check using the configured repository test runner.
3. Exercise: keeps the assignment and access consequences of department deletion
4. Verify the test's assertions and side effects.</t>
  </si>
  <si>
    <t>keeps the assignment and access consequences of department deletion.
The named invariant holds under the exercised input.</t>
  </si>
  <si>
    <t>membershipAssignment (5)</t>
  </si>
  <si>
    <t>AT-019</t>
  </si>
  <si>
    <t>keeps an active department-free member in the waiting room even with private workspace permission</t>
  </si>
  <si>
    <t>1. Load the source-defined test fixtures.
2. Run this check using the configured repository test runner.
3. Exercise: keeps an active department-free member in the waiting room even with private workspace permission
4. Verify the test's assertions and side effects.</t>
  </si>
  <si>
    <t>keeps an active department-free member in the waiting room even with private workspace permission.
The named invariant holds under the exercised input.</t>
  </si>
  <si>
    <t>AT-020</t>
  </si>
  <si>
    <t>keeps the organization administrator exception</t>
  </si>
  <si>
    <t>1. Load the source-defined test fixtures.
2. Run this check using the configured repository test runner.
3. Exercise: keeps the organization administrator exception
4. Verify the test's assertions and side effects.</t>
  </si>
  <si>
    <t>keeps the organization administrator exception.
The named invariant holds under the exercised input.</t>
  </si>
  <si>
    <t>AT-021</t>
  </si>
  <si>
    <t>does not send inactive memberships to the waiting room</t>
  </si>
  <si>
    <t>1. Load the source-defined test fixtures.
2. Run this check using the configured repository test runner.
3. Exercise: does not send inactive memberships to the waiting room
4. Verify the test's assertions and side effects.</t>
  </si>
  <si>
    <t>does not send inactive memberships to the waiting room.
The named invariant holds under the exercised input.</t>
  </si>
  <si>
    <t>AT-022</t>
  </si>
  <si>
    <t>does not claim private workspace access when the server denies it</t>
  </si>
  <si>
    <t>1. Load the source-defined test fixtures.
2. Run this check using the configured repository test runner.
3. Exercise: does not claim private workspace access when the server denies it
4. Verify the test's assertions and side effects.</t>
  </si>
  <si>
    <t>does not claim private workspace access when the server denies it.
The named invariant holds under the exercised input.</t>
  </si>
  <si>
    <t>AT-023</t>
  </si>
  <si>
    <t>uses a readable administrator label without exposing role codes</t>
  </si>
  <si>
    <t>1. Load the source-defined test fixtures.
2. Run this check using the configured repository test runner.
3. Exercise: uses a readable administrator label without exposing role codes
4. Verify the test's assertions and side effects.</t>
  </si>
  <si>
    <t>uses a readable administrator label without exposing role codes.
All declared source assertions and state checks satisfy the named behavior.</t>
  </si>
  <si>
    <t>organizationWorkflow (32)</t>
  </si>
  <si>
    <t>AT-024</t>
  </si>
  <si>
    <t>creates a normalized seven-day invitation without adding or mutating a member</t>
  </si>
  <si>
    <t>1. Load the source-defined test fixtures.
2. Run this check using the configured repository test runner.
3. Exercise: creates a normalized seven-day invitation without adding or mutating a member
4. Verify the test's assertions and side effects.</t>
  </si>
  <si>
    <t>creates a normalized seven-day invitation without adding or mutating a member.
All declared source assertions and state checks satisfy the named behavior.</t>
  </si>
  <si>
    <t>AT-025</t>
  </si>
  <si>
    <t>accepts the matching account once and waits for department and role assignment</t>
  </si>
  <si>
    <t>1. Load the source-defined test fixtures.
2. Run this check using the configured repository test runner.
3. Exercise: accepts the matching account once and waits for department and role assignment
4. Verify the test's assertions and side effects.</t>
  </si>
  <si>
    <t>accepts the matching account once and waits for department and role assignment.
The authorized operation behaves as asserted by the test.</t>
  </si>
  <si>
    <t>AT-026</t>
  </si>
  <si>
    <t>rejects duplicate invitation ID without changing the organization</t>
  </si>
  <si>
    <t>1. Load the source-defined test fixtures.
2. Run this check using the configured repository test runner.
3. Exercise: rejects duplicate invitation ID without changing the organization
4. Verify the test's assertions and side effects.</t>
  </si>
  <si>
    <t>rejects duplicate invitation ID without changing the organization.
Invalid or unauthorized behavior is blocked without a prohibited state change.</t>
  </si>
  <si>
    <t>AT-027</t>
  </si>
  <si>
    <t>rejects duplicate pending invitation email without changing the organization</t>
  </si>
  <si>
    <t>1. Load the source-defined test fixtures.
2. Run this check using the configured repository test runner.
3. Exercise: rejects duplicate pending invitation email without changing the organization
4. Verify the test's assertions and side effects.</t>
  </si>
  <si>
    <t>rejects duplicate pending invitation email without changing the organization.
Invalid or unauthorized behavior is blocked without a prohibited state change.</t>
  </si>
  <si>
    <t>AT-028</t>
  </si>
  <si>
    <t>rejects empty name without changing the organization</t>
  </si>
  <si>
    <t>1. Load the source-defined test fixtures.
2. Run this check using the configured repository test runner.
3. Exercise: rejects empty name without changing the organization
4. Verify the test's assertions and side effects.</t>
  </si>
  <si>
    <t>rejects empty name without changing the organization.
Invalid or unauthorized behavior is blocked without a prohibited state change.</t>
  </si>
  <si>
    <t>AT-029</t>
  </si>
  <si>
    <t>rejects invalid email without changing the organization</t>
  </si>
  <si>
    <t>1. Load the source-defined test fixtures.
2. Run this check using the configured repository test runner.
3. Exercise: rejects invalid email without changing the organization
4. Verify the test's assertions and side effects.</t>
  </si>
  <si>
    <t>rejects invalid email without changing the organization.
Invalid or unauthorized behavior is blocked without a prohibited state change.</t>
  </si>
  <si>
    <t>AT-030</t>
  </si>
  <si>
    <t>rejects missing invitation ID without changing the organization</t>
  </si>
  <si>
    <t>1. Load the source-defined test fixtures.
2. Run this check using the configured repository test runner.
3. Exercise: rejects missing invitation ID without changing the organization
4. Verify the test's assertions and side effects.</t>
  </si>
  <si>
    <t>rejects missing invitation ID without changing the organization.
Invalid or unauthorized behavior is blocked without a prohibited state change.</t>
  </si>
  <si>
    <t>AT-031</t>
  </si>
  <si>
    <t>rejects existing member emails regardless of casing and membership state</t>
  </si>
  <si>
    <t>1. Load the source-defined test fixtures.
2. Run this check using the configured repository test runner.
3. Exercise: rejects existing member emails regardless of casing and membership state
4. Verify the test's assertions and side effects.</t>
  </si>
  <si>
    <t>rejects existing member emails regardless of casing and membership state.
Invalid or unauthorized behavior is blocked without a prohibited state change.</t>
  </si>
  <si>
    <t>AT-032</t>
  </si>
  <si>
    <t>rejects an expired invitation at the exact expiry boundary</t>
  </si>
  <si>
    <t>1. Load the source-defined test fixtures.
2. Run this check using the configured repository test runner.
3. Exercise: rejects an expired invitation at the exact expiry boundary
4. Verify the test's assertions and side effects.</t>
  </si>
  <si>
    <t>rejects an expired invitation at the exact expiry boundary.
Invalid or unauthorized behavior is blocked without a prohibited state change.</t>
  </si>
  <si>
    <t>AT-033</t>
  </si>
  <si>
    <t>rejects the wrong account and an unavailable invitation</t>
  </si>
  <si>
    <t>1. Load the source-defined test fixtures.
2. Run this check using the configured repository test runner.
3. Exercise: rejects the wrong account and an unavailable invitation
4. Verify the test's assertions and side effects.</t>
  </si>
  <si>
    <t>rejects the wrong account and an unavailable invitation.
Invalid or unauthorized behavior is blocked without a prohibited state change.</t>
  </si>
  <si>
    <t>AT-034</t>
  </si>
  <si>
    <t>rejects a missing or existing member identifier when accepting</t>
  </si>
  <si>
    <t>1. Load the source-defined test fixtures.
2. Run this check using the configured repository test runner.
3. Exercise: rejects a missing or existing member identifier when accepting
4. Verify the test's assertions and side effects.</t>
  </si>
  <si>
    <t>rejects a missing or existing member identifier when accepting.
Invalid or unauthorized behavior is blocked without a prohibited state change.</t>
  </si>
  <si>
    <t>AT-035</t>
  </si>
  <si>
    <t>keeps repeated acceptance idempotent without creating a second membership</t>
  </si>
  <si>
    <t>1. Load the source-defined test fixtures.
2. Run this check using the configured repository test runner.
3. Exercise: keeps repeated acceptance idempotent without creating a second membership
4. Verify the test's assertions and side effects.</t>
  </si>
  <si>
    <t>keeps repeated acceptance idempotent without creating a second membership.
The named invariant holds under the exercised input.</t>
  </si>
  <si>
    <t>AT-036</t>
  </si>
  <si>
    <t>renews an expired pending invitation for seven days without creating another invitation</t>
  </si>
  <si>
    <t>1. Load the source-defined test fixtures.
2. Run this check using the configured repository test runner.
3. Exercise: renews an expired pending invitation for seven days without creating another invitation
4. Verify the test's assertions and side effects.</t>
  </si>
  <si>
    <t>renews an expired pending invitation for seven days without creating another invitation.
All declared source assertions and state checks satisfy the named behavior.</t>
  </si>
  <si>
    <t>AT-037</t>
  </si>
  <si>
    <t>prevents resending an old invitation when a newer invitation is pending</t>
  </si>
  <si>
    <t>1. Load the source-defined test fixtures.
2. Run this check using the configured repository test runner.
3. Exercise: prevents resending an old invitation when a newer invitation is pending
4. Verify the test's assertions and side effects.</t>
  </si>
  <si>
    <t>prevents resending an old invitation when a newer invitation is pending.
Invalid or unauthorized behavior is blocked without a prohibited state change.</t>
  </si>
  <si>
    <t>AT-038</t>
  </si>
  <si>
    <t>revokes an invitation and prevents acceptance or renewal</t>
  </si>
  <si>
    <t>1. Load the source-defined test fixtures.
2. Run this check using the configured repository test runner.
3. Exercise: revokes an invitation and prevents acceptance or renewal
4. Verify the test's assertions and side effects.</t>
  </si>
  <si>
    <t>revokes an invitation and prevents acceptance or renewal.
All declared source assertions and state checks satisfy the named behavior.</t>
  </si>
  <si>
    <t>AT-039</t>
  </si>
  <si>
    <t>treats accepted invitations as terminal for resend and revoke</t>
  </si>
  <si>
    <t>1. Load the source-defined test fixtures.
2. Run this check using the configured repository test runner.
3. Exercise: treats accepted invitations as terminal for resend and revoke
4. Verify the test's assertions and side effects.</t>
  </si>
  <si>
    <t>treats accepted invitations as terminal for resend and revoke.
All declared source assertions and state checks satisfy the named behavior.</t>
  </si>
  <si>
    <t>AT-040</t>
  </si>
  <si>
    <t>rejects a stale invitation if its email has since become a member</t>
  </si>
  <si>
    <t>1. Load the source-defined test fixtures.
2. Run this check using the configured repository test runner.
3. Exercise: rejects a stale invitation if its email has since become a member
4. Verify the test's assertions and side effects.</t>
  </si>
  <si>
    <t>rejects a stale invitation if its email has since become a member.
Invalid or unauthorized behavior is blocked without a prohibited state change.</t>
  </si>
  <si>
    <t>AT-041</t>
  </si>
  <si>
    <t>fails closed when the invitation clock or expiry is invalid</t>
  </si>
  <si>
    <t>1. Load the source-defined test fixtures.
2. Run this check using the configured repository test runner.
3. Exercise: fails closed when the invitation clock or expiry is invalid
4. Verify the test's assertions and side effects.</t>
  </si>
  <si>
    <t>fails closed when the invitation clock or expiry is invalid.
The error or edge case follows the asserted safe handling path.</t>
  </si>
  <si>
    <t>AT-042</t>
  </si>
  <si>
    <t>activates a pending member only after valid department and scoped role assignment</t>
  </si>
  <si>
    <t>1. Load the source-defined test fixtures.
2. Run this check using the configured repository test runner.
3. Exercise: activates a pending member only after valid department and scoped role assignment
4. Verify the test's assertions and side effects.</t>
  </si>
  <si>
    <t>activates a pending member only after valid department and scoped role assignment.
All declared source assertions and state checks satisfy the named behavior.</t>
  </si>
  <si>
    <t>AT-043</t>
  </si>
  <si>
    <t>rejects assignment to an unknown department or member</t>
  </si>
  <si>
    <t>1. Load the source-defined test fixtures.
2. Run this check using the configured repository test runner.
3. Exercise: rejects assignment to an unknown department or member
4. Verify the test's assertions and side effects.</t>
  </si>
  <si>
    <t>rejects assignment to an unknown department or member.
Invalid or unauthorized behavior is blocked without a prohibited state change.</t>
  </si>
  <si>
    <t>AT-044</t>
  </si>
  <si>
    <t>rejects department-scoped Organization Admin and accepts organization scope</t>
  </si>
  <si>
    <t>1. Load the source-defined test fixtures.
2. Run this check using the configured repository test runner.
3. Exercise: rejects department-scoped Organization Admin and accepts organization scope
4. Verify the test's assertions and side effects.</t>
  </si>
  <si>
    <t>rejects department-scoped Organization Admin and accepts organization scope.
Invalid or unauthorized behavior is blocked without a prohibited state change.</t>
  </si>
  <si>
    <t>AT-045</t>
  </si>
  <si>
    <t>protects the last active Organization Admin from demotion and suspension</t>
  </si>
  <si>
    <t>1. Load the source-defined test fixtures.
2. Run this check using the configured repository test runner.
3. Exercise: protects the last active Organization Admin from demotion and suspension
4. Verify the test's assertions and side effects.</t>
  </si>
  <si>
    <t>protects the last active Organization Admin from demotion and suspension.
All declared source assertions and state checks satisfy the named behavior.</t>
  </si>
  <si>
    <t>AT-046</t>
  </si>
  <si>
    <t>does not count a suspended admin as a replacement for the last active admin</t>
  </si>
  <si>
    <t>1. Load the source-defined test fixtures.
2. Run this check using the configured repository test runner.
3. Exercise: does not count a suspended admin as a replacement for the last active admin
4. Verify the test's assertions and side effects.</t>
  </si>
  <si>
    <t>does not count a suspended admin as a replacement for the last active admin.
The named invariant holds under the exercised input.</t>
  </si>
  <si>
    <t>AT-047</t>
  </si>
  <si>
    <t>does not count an invalid department-scoped admin as a replacement</t>
  </si>
  <si>
    <t>1. Load the source-defined test fixtures.
2. Run this check using the configured repository test runner.
3. Exercise: does not count an invalid department-scoped admin as a replacement
4. Verify the test's assertions and side effects.</t>
  </si>
  <si>
    <t>does not count an invalid department-scoped admin as a replacement.
The named invariant holds under the exercised input.</t>
  </si>
  <si>
    <t>AT-048</t>
  </si>
  <si>
    <t>does not count an admin without an explicit role scope as a replacement</t>
  </si>
  <si>
    <t>1. Load the source-defined test fixtures.
2. Run this check using the configured repository test runner.
3. Exercise: does not count an admin without an explicit role scope as a replacement
4. Verify the test's assertions and side effects.</t>
  </si>
  <si>
    <t>does not count an admin without an explicit role scope as a replacement.
The named invariant holds under the exercised input.</t>
  </si>
  <si>
    <t>AT-049</t>
  </si>
  <si>
    <t>allows admin demotion and suspension once another active admin exists</t>
  </si>
  <si>
    <t>1. Load the source-defined test fixtures.
2. Run this check using the configured repository test runner.
3. Exercise: allows admin demotion and suspension once another active admin exists
4. Verify the test's assertions and side effects.</t>
  </si>
  <si>
    <t>allows admin demotion and suspension once another active admin exists.
The authorized operation behaves as asserted by the test.</t>
  </si>
  <si>
    <t>AT-050</t>
  </si>
  <si>
    <t>does not restore a suspended member merely by changing their assignment</t>
  </si>
  <si>
    <t>1. Load the source-defined test fixtures.
2. Run this check using the configured repository test runner.
3. Exercise: does not restore a suspended member merely by changing their assignment
4. Verify the test's assertions and side effects.</t>
  </si>
  <si>
    <t>does not restore a suspended member merely by changing their assignment.
The named invariant holds under the exercised input.</t>
  </si>
  <si>
    <t>AT-051</t>
  </si>
  <si>
    <t>requires assignment before activating an unassigned member</t>
  </si>
  <si>
    <t>1. Load the source-defined test fixtures.
2. Run this check using the configured repository test runner.
3. Exercise: requires assignment before activating an unassigned member
4. Verify the test's assertions and side effects.</t>
  </si>
  <si>
    <t>requires assignment before activating an unassigned member.
All declared source assertions and state checks satisfy the named behavior.</t>
  </si>
  <si>
    <t>AT-052</t>
  </si>
  <si>
    <t>returns pending for missing departments and denied for unknown or suspended memberships</t>
  </si>
  <si>
    <t>1. Load the source-defined test fixtures.
2. Run this check using the configured repository test runner.
3. Exercise: returns pending for missing departments and denied for unknown or suspended memberships
4. Verify the test's assertions and side effects.</t>
  </si>
  <si>
    <t>returns pending for missing departments and denied for unknown or suspended memberships.
The response or exposed contract matches the expected fixture and assertions.</t>
  </si>
  <si>
    <t>AT-053</t>
  </si>
  <si>
    <t>denies a malformed department-scoped administrator configuration</t>
  </si>
  <si>
    <t>1. Load the source-defined test fixtures.
2. Run this check using the configured repository test runner.
3. Exercise: denies a malformed department-scoped administrator configuration
4. Verify the test's assertions and side effects.</t>
  </si>
  <si>
    <t>denies a malformed department-scoped administrator configuration.
Invalid or unauthorized behavior is blocked without a prohibited state change.</t>
  </si>
  <si>
    <t>AT-054</t>
  </si>
  <si>
    <t>denies an assigned member with a missing role scope and blocks restoration</t>
  </si>
  <si>
    <t>1. Load the source-defined test fixtures.
2. Run this check using the configured repository test runner.
3. Exercise: denies an assigned member with a missing role scope and blocks restoration
4. Verify the test's assertions and side effects.</t>
  </si>
  <si>
    <t>denies an assigned member with a missing role scope and blocks restoration.
Invalid or unauthorized behavior is blocked without a prohibited state change.</t>
  </si>
  <si>
    <t>AT-055</t>
  </si>
  <si>
    <t>denies an assigned member with a unknown role scope and blocks restoration</t>
  </si>
  <si>
    <t>1. Load the source-defined test fixtures.
2. Run this check using the configured repository test runner.
3. Exercise: denies an assigned member with a unknown role scope and blocks restoration
4. Verify the test's assertions and side effects.</t>
  </si>
  <si>
    <t>denies an assigned member with a unknown role scope and blocks restoration.
Invalid or unauthorized behavior is blocked without a prohibited state change.</t>
  </si>
  <si>
    <t>signInPage (2)</t>
  </si>
  <si>
    <t>AT-056</t>
  </si>
  <si>
    <t>does not render 'Have a reset code?' and transitions directly to reset-password on sending instructions</t>
  </si>
  <si>
    <t>1. Load the source-defined test fixtures.
2. Run this check using the configured repository test runner.
3. Exercise: does not render 'Have a reset code?' and transitions directly to reset-password on sending instructions
4. Verify the test's assertions and side effects.</t>
  </si>
  <si>
    <t>does not render 'Have a reset code?' and transitions directly to reset-password on sending instructions.
The named invariant holds under the exercised input.</t>
  </si>
  <si>
    <t>AT-057</t>
  </si>
  <si>
    <t>clears reset token and switches to sign-in on successful password update</t>
  </si>
  <si>
    <t>1. Load the source-defined test fixtures.
2. Run this check using the configured repository test runner.
3. Exercise: clears reset token and switches to sign-in on successful password update
4. Verify the test's assertions and side effects.</t>
  </si>
  <si>
    <t>clears reset token and switches to sign-in on successful password update.
All declared source assertions and state checks satisfy the named behavior.</t>
  </si>
  <si>
    <t>userCopy (10)</t>
  </si>
  <si>
    <t>AT-058</t>
  </si>
  <si>
    <t>keeps ACTIVE publication state accurate without repeating it</t>
  </si>
  <si>
    <t>1. Load the source-defined test fixtures.
2. Run this check using the configured repository test runner.
3. Exercise: keeps ACTIVE publication state accurate without repeating it
4. Verify the test's assertions and side effects.</t>
  </si>
  <si>
    <t>keeps ACTIVE publication state accurate without repeating it.
The named invariant holds under the exercised input.</t>
  </si>
  <si>
    <t>AT-059</t>
  </si>
  <si>
    <t>keeps FAILED publication state accurate without repeating it</t>
  </si>
  <si>
    <t>1. Load the source-defined test fixtures.
2. Run this check using the configured repository test runner.
3. Exercise: keeps FAILED publication state accurate without repeating it
4. Verify the test's assertions and side effects.</t>
  </si>
  <si>
    <t>keeps FAILED publication state accurate without repeating it.
The named invariant holds under the exercised input.</t>
  </si>
  <si>
    <t>AT-060</t>
  </si>
  <si>
    <t>keeps PREPARING publication state accurate without repeating it</t>
  </si>
  <si>
    <t>1. Load the source-defined test fixtures.
2. Run this check using the configured repository test runner.
3. Exercise: keeps PREPARING publication state accurate without repeating it
4. Verify the test's assertions and side effects.</t>
  </si>
  <si>
    <t>keeps PREPARING publication state accurate without repeating it.
The named invariant holds under the exercised input.</t>
  </si>
  <si>
    <t>AT-061</t>
  </si>
  <si>
    <t>does not claim an index is ready in the empty chat</t>
  </si>
  <si>
    <t>1. Load the source-defined test fixtures.
2. Run this check using the configured repository test runner.
3. Exercise: does not claim an index is ready in the empty chat
4. Verify the test's assertions and side effects.</t>
  </si>
  <si>
    <t>does not claim an index is ready in the empty chat.
The named invariant holds under the exercised input.</t>
  </si>
  <si>
    <t>AT-062</t>
  </si>
  <si>
    <t>shows the DEPARTMENT boundary before approving group readers</t>
  </si>
  <si>
    <t>1. Load the source-defined test fixtures.
2. Run this check using the configured repository test runner.
3. Exercise: shows the DEPARTMENT boundary before approving group readers
4. Verify the test's assertions and side effects.</t>
  </si>
  <si>
    <t>shows the DEPARTMENT boundary before approving group readers.
Expected UI text, state and presentation appear in the test assertions.</t>
  </si>
  <si>
    <t>AT-063</t>
  </si>
  <si>
    <t>shows the ORGANIZATION boundary before approving group readers</t>
  </si>
  <si>
    <t>1. Load the source-defined test fixtures.
2. Run this check using the configured repository test runner.
3. Exercise: shows the ORGANIZATION boundary before approving group readers
4. Verify the test's assertions and side effects.</t>
  </si>
  <si>
    <t>shows the ORGANIZATION boundary before approving group readers.
Expected UI text, state and presentation appear in the test assertions.</t>
  </si>
  <si>
    <t>AT-064</t>
  </si>
  <si>
    <t>keeps the private-copy warning and reuses retry identity without showing request keys</t>
  </si>
  <si>
    <t>1. Load the source-defined test fixtures.
2. Run this check using the configured repository test runner.
3. Exercise: keeps the private-copy warning and reuses retry identity without showing request keys
4. Verify the test's assertions and side effects.</t>
  </si>
  <si>
    <t>keeps the private-copy warning and reuses retry identity without showing request keys.
The named invariant holds under the exercised input.</t>
  </si>
  <si>
    <t>AT-065</t>
  </si>
  <si>
    <t>does not expose an internal exception in the page fallback</t>
  </si>
  <si>
    <t>1. Load the source-defined test fixtures.
2. Run this check using the configured repository test runner.
3. Exercise: does not expose an internal exception in the page fallback
4. Verify the test's assertions and side effects.</t>
  </si>
  <si>
    <t>does not expose an internal exception in the page fallback.
The named invariant holds under the exercised input.</t>
  </si>
  <si>
    <t>AT-066</t>
  </si>
  <si>
    <t>lets an author keep editing or discard unsaved document changes without a write</t>
  </si>
  <si>
    <t>1. Load the source-defined test fixtures.
2. Run this check using the configured repository test runner.
3. Exercise: lets an author keep editing or discard unsaved document changes without a write
4. Verify the test's assertions and side effects.</t>
  </si>
  <si>
    <t>lets an author keep editing or discard unsaved document changes without a write.
All declared source assertions and state checks satisfy the named behavior.</t>
  </si>
  <si>
    <t>AT-067</t>
  </si>
  <si>
    <t>discards a new document form and starts the next form empty</t>
  </si>
  <si>
    <t>1. Load the source-defined test fixtures.
2. Run this check using the configured repository test runner.
3. Exercise: discards a new document form and starts the next form empty
4. Verify the test's assertions and side effects.</t>
  </si>
  <si>
    <t>discards a new document form and starts the next form empty.
All declared source assertions and state checks satisfy the named behavior.</t>
  </si>
  <si>
    <t>workspaceSelectPage (3)</t>
  </si>
  <si>
    <t>AT-068</t>
  </si>
  <si>
    <t>renders 'Create your organization' directly when user has no active workspaces</t>
  </si>
  <si>
    <t>1. Load the source-defined test fixtures.
2. Run this check using the configured repository test runner.
3. Exercise: renders 'Create your organization' directly when user has no active workspaces
4. Verify the test's assertions and side effects.</t>
  </si>
  <si>
    <t>renders 'Create your organization' directly when user has no active workspaces.
Expected UI text, state and presentation appear in the test assertions.</t>
  </si>
  <si>
    <t>AT-069</t>
  </si>
  <si>
    <t>renders workspace choices when active memberships exist and allows creating another</t>
  </si>
  <si>
    <t>1. Load the source-defined test fixtures.
2. Run this check using the configured repository test runner.
3. Exercise: renders workspace choices when active memberships exist and allows creating another
4. Verify the test's assertions and side effects.</t>
  </si>
  <si>
    <t>renders workspace choices when active memberships exist and allows creating another.
Expected UI text, state and presentation appear in the test assertions.</t>
  </si>
  <si>
    <t>AT-070</t>
  </si>
  <si>
    <t>renders sample workspace in preview mode</t>
  </si>
  <si>
    <t>1. Load the source-defined test fixtures.
2. Run this check using the configured repository test runner.
3. Exercise: renders sample workspace in preview mode
4. Verify the test's assertions and side effects.</t>
  </si>
  <si>
    <t>renders sample workspace in preview mode.
Expected UI text, state and presentation appear in the test assertions.</t>
  </si>
  <si>
    <t>ardenDocumentModel (5)</t>
  </si>
  <si>
    <t>AT-071</t>
  </si>
  <si>
    <t>rejects unversioned stored text instead of keeping a second canonical format</t>
  </si>
  <si>
    <t>1. Load the source-defined test fixtures.
2. Run this check using the configured repository test runner.
3. Exercise: rejects unversioned stored text instead of keeping a second canonical format
4. Verify the test's assertions and side effects.</t>
  </si>
  <si>
    <t>rejects unversioned stored text instead of keeping a second canonical format.
Invalid or unauthorized behavior is blocked without a prohibited state change.</t>
  </si>
  <si>
    <t>AT-072</t>
  </si>
  <si>
    <t>round-trips supported blocks, stable ids, and inline formatting</t>
  </si>
  <si>
    <t>1. Load the source-defined test fixtures.
2. Run this check using the configured repository test runner.
3. Exercise: round-trips supported blocks, stable ids, and inline formatting
4. Verify the test's assertions and side effects.</t>
  </si>
  <si>
    <t>round-trips supported blocks, stable ids, and inline formatting.
All declared source assertions and state checks satisfy the named behavior.</t>
  </si>
  <si>
    <t>AT-073</t>
  </si>
  <si>
    <t>drops color and layout properties that are outside the fixed Arden format</t>
  </si>
  <si>
    <t>1. Load the source-defined test fixtures.
2. Run this check using the configured repository test runner.
3. Exercise: drops color and layout properties that are outside the fixed Arden format
4. Verify the test's assertions and side effects.</t>
  </si>
  <si>
    <t>drops color and layout properties that are outside the fixed Arden format.
All declared source assertions and state checks satisfy the named behavior.</t>
  </si>
  <si>
    <t>AT-074</t>
  </si>
  <si>
    <t>preserves styled text when an editor link has an unsupported scheme</t>
  </si>
  <si>
    <t>1. Load the source-defined test fixtures.
2. Run this check using the configured repository test runner.
3. Exercise: preserves styled text when an editor link has an unsupported scheme
4. Verify the test's assertions and side effects.</t>
  </si>
  <si>
    <t>preserves styled text when an editor link has an unsupported scheme.
The named invariant holds under the exercised input.</t>
  </si>
  <si>
    <t>AT-075</t>
  </si>
  <si>
    <t>rejects malformed or unsupported versioned content</t>
  </si>
  <si>
    <t>1. Load the source-defined test fixtures.
2. Run this check using the configured repository test runner.
3. Exercise: rejects malformed or unsupported versioned content
4. Verify the test's assertions and side effects.</t>
  </si>
  <si>
    <t>rejects malformed or unsupported versioned content.
Invalid or unauthorized behavior is blocked without a prohibited state change.</t>
  </si>
  <si>
    <t>askArdenModel (2)</t>
  </si>
  <si>
    <t>AT-076</t>
  </si>
  <si>
    <t>keeps real citations navigable</t>
  </si>
  <si>
    <t>1. Load the source-defined test fixtures.
2. Run this check using the configured repository test runner.
3. Exercise: keeps real citations navigable
4. Verify the test's assertions and side effects.</t>
  </si>
  <si>
    <t>keeps real citations navigable.
The named invariant holds under the exercised input.</t>
  </si>
  <si>
    <t>AT-077</t>
  </si>
  <si>
    <t>marks an honest no-evidence response without inventing citations</t>
  </si>
  <si>
    <t>1. Load the source-defined test fixtures.
2. Run this check using the configured repository test runner.
3. Exercise: marks an honest no-evidence response without inventing citations
4. Verify the test's assertions and side effects.</t>
  </si>
  <si>
    <t>marks an honest no-evidence response without inventing citations.
All declared source assertions and state checks satisfy the named behavior.</t>
  </si>
  <si>
    <t>knowledgeAudience (3)</t>
  </si>
  <si>
    <t>AT-078</t>
  </si>
  <si>
    <t>offers managed audiences only at their matching scope and groups at either scope</t>
  </si>
  <si>
    <t>1. Load the source-defined test fixtures.
2. Run this check using the configured repository test runner.
3. Exercise: offers managed audiences only at their matching scope and groups at either scope
4. Verify the test's assertions and side effects.</t>
  </si>
  <si>
    <t>offers managed audiences only at their matching scope and groups at either scope.
All declared source assertions and state checks satisfy the named behavior.</t>
  </si>
  <si>
    <t>AT-079</t>
  </si>
  <si>
    <t>removes ALL_MEMBERS when switching from Organization to Department</t>
  </si>
  <si>
    <t>1. Load the source-defined test fixtures.
2. Run this check using the configured repository test runner.
3. Exercise: removes ALL_MEMBERS when switching from Organization to Department
4. Verify the test's assertions and side effects.</t>
  </si>
  <si>
    <t>removes ALL_MEMBERS when switching from Organization to Department.
All declared source assertions and state checks satisfy the named behavior.</t>
  </si>
  <si>
    <t>AT-080</t>
  </si>
  <si>
    <t>rejects empty, duplicate, unknown and out-of-scope selections</t>
  </si>
  <si>
    <t>1. Load the source-defined test fixtures.
2. Run this check using the configured repository test runner.
3. Exercise: rejects empty, duplicate, unknown and out-of-scope selections
4. Verify the test's assertions and side effects.</t>
  </si>
  <si>
    <t>rejects empty, duplicate, unknown and out-of-scope selections.
Invalid or unauthorized behavior is blocked without a prohibited state change.</t>
  </si>
  <si>
    <t>knowledgeDocumentDetail (3)</t>
  </si>
  <si>
    <t>AT-081</t>
  </si>
  <si>
    <t>marks a future publication as upcoming</t>
  </si>
  <si>
    <t>1. Load the source-defined test fixtures.
2. Run this check using the configured repository test runner.
3. Exercise: marks a future publication as upcoming
4. Verify the test's assertions and side effects.</t>
  </si>
  <si>
    <t>marks a future publication as upcoming.
All declared source assertions and state checks satisfy the named behavior.</t>
  </si>
  <si>
    <t>AT-082</t>
  </si>
  <si>
    <t>marks a publication whose validity ended as expired</t>
  </si>
  <si>
    <t>1. Load the source-defined test fixtures.
2. Run this check using the configured repository test runner.
3. Exercise: marks a publication whose validity ended as expired
4. Verify the test's assertions and side effects.</t>
  </si>
  <si>
    <t>marks a publication whose validity ended as expired.
All declared source assertions and state checks satisfy the named behavior.</t>
  </si>
  <si>
    <t>AT-083</t>
  </si>
  <si>
    <t>keeps an active publication effective</t>
  </si>
  <si>
    <t>1. Load the source-defined test fixtures.
2. Run this check using the configured repository test runner.
3. Exercise: keeps an active publication effective
4. Verify the test's assertions and side effects.</t>
  </si>
  <si>
    <t>keeps an active publication effective.
The named invariant holds under the exercised input.</t>
  </si>
  <si>
    <t>knowledgeLibrary (3)</t>
  </si>
  <si>
    <t>AT-084</t>
  </si>
  <si>
    <t>matches governed metadata used by the search list</t>
  </si>
  <si>
    <t>1. Load the source-defined test fixtures.
2. Run this check using the configured repository test runner.
3. Exercise: matches governed metadata used by the search list
4. Verify the test's assertions and side effects.</t>
  </si>
  <si>
    <t>matches governed metadata used by the search list.
All declared source assertions and state checks satisfy the named behavior.</t>
  </si>
  <si>
    <t>AT-085</t>
  </si>
  <si>
    <t>does not match unrelated content</t>
  </si>
  <si>
    <t>1. Load the source-defined test fixtures.
2. Run this check using the configured repository test runner.
3. Exercise: does not match unrelated content
4. Verify the test's assertions and side effects.</t>
  </si>
  <si>
    <t>does not match unrelated content.
The named invariant holds under the exercised input.</t>
  </si>
  <si>
    <t>AT-086</t>
  </si>
  <si>
    <t>keeps private and in-review samples out of shared search</t>
  </si>
  <si>
    <t>1. Load the source-defined test fixtures.
2. Run this check using the configured repository test runner.
3. Exercise: keeps private and in-review samples out of shared search
4. Verify the test's assertions and side effects.</t>
  </si>
  <si>
    <t>keeps private and in-review samples out of shared search.
The named invariant holds under the exercised input.</t>
  </si>
  <si>
    <t>knowledgePreviewModel (7)</t>
  </si>
  <si>
    <t>AT-087</t>
  </si>
  <si>
    <t>blocks incomplete or private drafts from shared review</t>
  </si>
  <si>
    <t>1. Load the source-defined test fixtures.
2. Run this check using the configured repository test runner.
3. Exercise: blocks incomplete or private drafts from shared review
4. Verify the test's assertions and side effects.</t>
  </si>
  <si>
    <t>blocks incomplete or private drafts from shared review.
Invalid or unauthorized behavior is blocked without a prohibited state change.</t>
  </si>
  <si>
    <t>AT-088</t>
  </si>
  <si>
    <t>keeps submitted content independent from later draft edits</t>
  </si>
  <si>
    <t>1. Load the source-defined test fixtures.
2. Run this check using the configured repository test runner.
3. Exercise: keeps submitted content independent from later draft edits
4. Verify the test's assertions and side effects.</t>
  </si>
  <si>
    <t>keeps submitted content independent from later draft edits.
The named invariant holds under the exercised input.</t>
  </si>
  <si>
    <t>AT-089</t>
  </si>
  <si>
    <t>keeps approval non-active until explicit index-ready activation</t>
  </si>
  <si>
    <t>1. Load the source-defined test fixtures.
2. Run this check using the configured repository test runner.
3. Exercise: keeps approval non-active until explicit index-ready activation
4. Verify the test's assertions and side effects.</t>
  </si>
  <si>
    <t>keeps approval non-active until explicit index-ready activation.
The named invariant holds under the exercised input.</t>
  </si>
  <si>
    <t>AT-090</t>
  </si>
  <si>
    <t>does not submit an unchanged published sample again</t>
  </si>
  <si>
    <t>1. Load the source-defined test fixtures.
2. Run this check using the configured repository test runner.
3. Exercise: does not submit an unchanged published sample again
4. Verify the test's assertions and side effects.</t>
  </si>
  <si>
    <t>does not submit an unchanged published sample again.
The named invariant holds under the exercised input.</t>
  </si>
  <si>
    <t>AT-091</t>
  </si>
  <si>
    <t>freezes classification separately from publication audience</t>
  </si>
  <si>
    <t>1. Load the source-defined test fixtures.
2. Run this check using the configured repository test runner.
3. Exercise: freezes classification separately from publication audience
4. Verify the test's assertions and side effects.</t>
  </si>
  <si>
    <t>freezes classification separately from publication audience.
All declared source assertions and state checks satisfy the named behavior.</t>
  </si>
  <si>
    <t>AT-092</t>
  </si>
  <si>
    <t>resubmits a revised draft as a new pending snapshot without replacing a publication</t>
  </si>
  <si>
    <t>1. Load the source-defined test fixtures.
2. Run this check using the configured repository test runner.
3. Exercise: resubmits a revised draft as a new pending snapshot without replacing a publication
4. Verify the test's assertions and side effects.</t>
  </si>
  <si>
    <t>resubmits a revised draft as a new pending snapshot without replacing a publication.
All declared source assertions and state checks satisfy the named behavior.</t>
  </si>
  <si>
    <t>AT-093</t>
  </si>
  <si>
    <t>requires a receiving owner for every transfer and revision</t>
  </si>
  <si>
    <t>1. Load the source-defined test fixtures.
2. Run this check using the configured repository test runner.
3. Exercise: requires a receiving owner for every transfer and revision
4. Verify the test's assertions and side effects.</t>
  </si>
  <si>
    <t>requires a receiving owner for every transfer and revision.
All declared source assertions and state checks satisfy the named behavior.</t>
  </si>
  <si>
    <t>knowledgeStatus (2)</t>
  </si>
  <si>
    <t>AT-094</t>
  </si>
  <si>
    <t>rejects non-PDF, empty and oversized local files before upload</t>
  </si>
  <si>
    <t>1. Load the source-defined test fixtures.
2. Run this check using the configured repository test runner.
3. Exercise: rejects non-PDF, empty and oversized local files before upload
4. Verify the test's assertions and side effects.</t>
  </si>
  <si>
    <t>rejects non-PDF, empty and oversized local files before upload.
Invalid or unauthorized behavior is blocked without a prohibited state change.</t>
  </si>
  <si>
    <t>AT-095</t>
  </si>
  <si>
    <t>distinguishes a published snapshot from a later working version</t>
  </si>
  <si>
    <t>1. Load the source-defined test fixtures.
2. Run this check using the configured repository test runner.
3. Exercise: distinguishes a published snapshot from a later working version
4. Verify the test's assertions and side effects.</t>
  </si>
  <si>
    <t>distinguishes a published snapshot from a later working version.
All declared source assertions and state checks satisfy the named behavior.</t>
  </si>
  <si>
    <t>libraryDisplay (5)</t>
  </si>
  <si>
    <t>AT-096</t>
  </si>
  <si>
    <t>derives the code from a leading title prefix and strips it</t>
  </si>
  <si>
    <t>1. Load the source-defined test fixtures.
2. Run this check using the configured repository test runner.
3. Exercise: derives the code from a leading title prefix and strips it
4. Verify the test's assertions and side effects.</t>
  </si>
  <si>
    <t>derives the code from a leading title prefix and strips it.
All declared source assertions and state checks satisfy the named behavior.</t>
  </si>
  <si>
    <t>AT-097</t>
  </si>
  <si>
    <t>prefers the stored document code and strips a matching prefix</t>
  </si>
  <si>
    <t>1. Load the source-defined test fixtures.
2. Run this check using the configured repository test runner.
3. Exercise: prefers the stored document code and strips a matching prefix
4. Verify the test's assertions and side effects.</t>
  </si>
  <si>
    <t>prefers the stored document code and strips a matching prefix.
All declared source assertions and state checks satisfy the named behavior.</t>
  </si>
  <si>
    <t>AT-098</t>
  </si>
  <si>
    <t>keeps a different prefix in the title when a stored code exists</t>
  </si>
  <si>
    <t>1. Load the source-defined test fixtures.
2. Run this check using the configured repository test runner.
3. Exercise: keeps a different prefix in the title when a stored code exists
4. Verify the test's assertions and side effects.</t>
  </si>
  <si>
    <t>keeps a different prefix in the title when a stored code exists.
The named invariant holds under the exercised input.</t>
  </si>
  <si>
    <t>AT-099</t>
  </si>
  <si>
    <t>renders no code when neither a code nor a prefix exists</t>
  </si>
  <si>
    <t>1. Load the source-defined test fixtures.
2. Run this check using the configured repository test runner.
3. Exercise: renders no code when neither a code nor a prefix exists
4. Verify the test's assertions and side effects.</t>
  </si>
  <si>
    <t>renders no code when neither a code nor a prefix exists.
Expected UI text, state and presentation appear in the test assertions.</t>
  </si>
  <si>
    <t>AT-100</t>
  </si>
  <si>
    <t>does not treat an ordinary hyphenated phrase as a code</t>
  </si>
  <si>
    <t>1. Load the source-defined test fixtures.
2. Run this check using the configured repository test runner.
3. Exercise: does not treat an ordinary hyphenated phrase as a code
4. Verify the test's assertions and side effects.</t>
  </si>
  <si>
    <t>does not treat an ordinary hyphenated phrase as a code.
The named invariant holds under the exercised input.</t>
  </si>
  <si>
    <t>noteDraftModel (8)</t>
  </si>
  <si>
    <t>AT-101</t>
  </si>
  <si>
    <t>keeps an unsaved draft when selecting another note and returning</t>
  </si>
  <si>
    <t>1. Load the source-defined test fixtures.
2. Run this check using the configured repository test runner.
3. Exercise: keeps an unsaved draft when selecting another note and returning
4. Verify the test's assertions and side effects.</t>
  </si>
  <si>
    <t>keeps an unsaved draft when selecting another note and returning.
The named invariant holds under the exercised input.</t>
  </si>
  <si>
    <t>AT-102</t>
  </si>
  <si>
    <t>saves only the selected note while preserving other drafts</t>
  </si>
  <si>
    <t>1. Load the source-defined test fixtures.
2. Run this check using the configured repository test runner.
3. Exercise: saves only the selected note while preserving other drafts
4. Verify the test's assertions and side effects.</t>
  </si>
  <si>
    <t>saves only the selected note while preserving other drafts.
All declared source assertions and state checks satisfy the named behavior.</t>
  </si>
  <si>
    <t>AT-103</t>
  </si>
  <si>
    <t>does not mark a reverted edit as dirty</t>
  </si>
  <si>
    <t>1. Load the source-defined test fixtures.
2. Run this check using the configured repository test runner.
3. Exercise: does not mark a reverted edit as dirty
4. Verify the test's assertions and side effects.</t>
  </si>
  <si>
    <t>does not mark a reverted edit as dirty.
The named invariant holds under the exercised input.</t>
  </si>
  <si>
    <t>AT-104</t>
  </si>
  <si>
    <t>creating and saving a new note preserves the previous unsaved note</t>
  </si>
  <si>
    <t>1. Load the source-defined test fixtures.
2. Run this check using the configured repository test runner.
3. Exercise: creating and saving a new note preserves the previous unsaved note
4. Verify the test's assertions and side effects.</t>
  </si>
  <si>
    <t>creating and saving a new note preserves the previous unsaved note.
All declared source assertions and state checks satisfy the named behavior.</t>
  </si>
  <si>
    <t>AT-105</t>
  </si>
  <si>
    <t>clears all drafts and saved preview changes when the session resets</t>
  </si>
  <si>
    <t>1. Load the source-defined test fixtures.
2. Run this check using the configured repository test runner.
3. Exercise: clears all drafts and saved preview changes when the session resets
4. Verify the test's assertions and side effects.</t>
  </si>
  <si>
    <t>clears all drafts and saved preview changes when the session resets.
All declared source assertions and state checks satisfy the named behavior.</t>
  </si>
  <si>
    <t>AT-106</t>
  </si>
  <si>
    <t>ignores missing selections and handles an empty workspace</t>
  </si>
  <si>
    <t>1. Load the source-defined test fixtures.
2. Run this check using the configured repository test runner.
3. Exercise: ignores missing selections and handles an empty workspace
4. Verify the test's assertions and side effects.</t>
  </si>
  <si>
    <t>ignores missing selections and handles an empty workspace.
All declared source assertions and state checks satisfy the named behavior.</t>
  </si>
  <si>
    <t>AT-107</t>
  </si>
  <si>
    <t>discards only the selected note's edits</t>
  </si>
  <si>
    <t>1. Load the source-defined test fixtures.
2. Run this check using the configured repository test runner.
3. Exercise: discards only the selected note's edits
4. Verify the test's assertions and side effects.</t>
  </si>
  <si>
    <t>discards only the selected note's edits.
All declared source assertions and state checks satisfy the named behavior.</t>
  </si>
  <si>
    <t>AT-108</t>
  </si>
  <si>
    <t>removes a never-saved local note without deleting saved notes or other drafts</t>
  </si>
  <si>
    <t>1. Load the source-defined test fixtures.
2. Run this check using the configured repository test runner.
3. Exercise: removes a never-saved local note without deleting saved notes or other drafts
4. Verify the test's assertions and side effects.</t>
  </si>
  <si>
    <t>removes a never-saved local note without deleting saved notes or other drafts.
All declared source assertions and state checks satisfy the named behavior.</t>
  </si>
  <si>
    <t>pdfDocument (2)</t>
  </si>
  <si>
    <t>AT-109</t>
  </si>
  <si>
    <t>changes the embedded viewer identity when the citation moves to another page</t>
  </si>
  <si>
    <t>1. Load the source-defined test fixtures.
2. Run this check using the configured repository test runner.
3. Exercise: changes the embedded viewer identity when the citation moves to another page
4. Verify the test's assertions and side effects.</t>
  </si>
  <si>
    <t>changes the embedded viewer identity when the citation moves to another page.
All declared source assertions and state checks satisfy the named behavior.</t>
  </si>
  <si>
    <t>AT-110</t>
  </si>
  <si>
    <t>keeps a deterministic viewer identity for the first page and safe download names</t>
  </si>
  <si>
    <t>1. Load the source-defined test fixtures.
2. Run this check using the configured repository test runner.
3. Exercise: keeps a deterministic viewer identity for the first page and safe download names
4. Verify the test's assertions and side effects.</t>
  </si>
  <si>
    <t>keeps a deterministic viewer identity for the first page and safe download names.
The named invariant holds under the exercised input.</t>
  </si>
  <si>
    <t>previewModel (7)</t>
  </si>
  <si>
    <t>AT-111</t>
  </si>
  <si>
    <t>starts with the valid four-department Figma sample</t>
  </si>
  <si>
    <t>1. Load the source-defined test fixtures.
2. Run this check using the configured repository test runner.
3. Exercise: starts with the valid four-department Figma sample
4. Verify the test's assertions and side effects.</t>
  </si>
  <si>
    <t>starts with the valid four-department Figma sample.
All declared source assertions and state checks satisfy the named behavior.</t>
  </si>
  <si>
    <t>AT-112</t>
  </si>
  <si>
    <t>rejects duplicate departments and members without a department</t>
  </si>
  <si>
    <t>1. Load the source-defined test fixtures.
2. Run this check using the configured repository test runner.
3. Exercise: rejects duplicate departments and members without a department
4. Verify the test's assertions and side effects.</t>
  </si>
  <si>
    <t>rejects duplicate departments and members without a department.
Invalid or unauthorized behavior is blocked without a prohibited state change.</t>
  </si>
  <si>
    <t>AT-113</t>
  </si>
  <si>
    <t>allows empty departments and pending members without premature assignments</t>
  </si>
  <si>
    <t>1. Load the source-defined test fixtures.
2. Run this check using the configured repository test runner.
3. Exercise: allows empty departments and pending members without premature assignments
4. Verify the test's assertions and side effects.</t>
  </si>
  <si>
    <t>allows empty departments and pending members without premature assignments.
The authorized operation behaves as asserted by the test.</t>
  </si>
  <si>
    <t>AT-114</t>
  </si>
  <si>
    <t>rejects a duplicate member email regardless of case</t>
  </si>
  <si>
    <t>1. Load the source-defined test fixtures.
2. Run this check using the configured repository test runner.
3. Exercise: rejects a duplicate member email regardless of case
4. Verify the test's assertions and side effects.</t>
  </si>
  <si>
    <t>rejects a duplicate member email regardless of case.
Invalid or unauthorized behavior is blocked without a prohibited state change.</t>
  </si>
  <si>
    <t>AT-115</t>
  </si>
  <si>
    <t>allows one department and requires a valid active admin</t>
  </si>
  <si>
    <t>1. Load the source-defined test fixtures.
2. Run this check using the configured repository test runner.
3. Exercise: allows one department and requires a valid active admin
4. Verify the test's assertions and side effects.</t>
  </si>
  <si>
    <t>allows one department and requires a valid active admin.
The authorized operation behaves as asserted by the test.</t>
  </si>
  <si>
    <t>AT-116</t>
  </si>
  <si>
    <t>requires an explicit scope and does not count an unscoped admin</t>
  </si>
  <si>
    <t>1. Load the source-defined test fixtures.
2. Run this check using the configured repository test runner.
3. Exercise: requires an explicit scope and does not count an unscoped admin
4. Verify the test's assertions and side effects.</t>
  </si>
  <si>
    <t>requires an explicit scope and does not count an unscoped admin.
All declared source assertions and state checks satisfy the named behavior.</t>
  </si>
  <si>
    <t>AT-117</t>
  </si>
  <si>
    <t>requires an organization name and valid member email</t>
  </si>
  <si>
    <t>1. Load the source-defined test fixtures.
2. Run this check using the configured repository test runner.
3. Exercise: requires an organization name and valid member email
4. Verify the test's assertions and side effects.</t>
  </si>
  <si>
    <t>requires an organization name and valid member email.
All declared source assertions and state checks satisfy the named behavior.</t>
  </si>
  <si>
    <t>privateNoteConflict (1)</t>
  </si>
  <si>
    <t>AT-118</t>
  </si>
  <si>
    <t>preserves unsaved edits and gives effective recovery after a note version conflict</t>
  </si>
  <si>
    <t>1. Load the source-defined test fixtures.
2. Run this check using the configured repository test runner.
3. Exercise: preserves unsaved edits and gives effective recovery after a note version conflict
4. Verify the test's assertions and side effects.</t>
  </si>
  <si>
    <t>preserves unsaved edits and gives effective recovery after a note version conflict.
The named invariant holds under the exercised input.</t>
  </si>
  <si>
    <t>readerSelection (11)</t>
  </si>
  <si>
    <t>AT-119</t>
  </si>
  <si>
    <t>offers only the responsible department's audience and groups that stay within it</t>
  </si>
  <si>
    <t>1. Load the source-defined test fixtures.
2. Run this check using the configured repository test runner.
3. Exercise: offers only the responsible department's audience and groups that stay within it
4. Verify the test's assertions and side effects.</t>
  </si>
  <si>
    <t>offers only the responsible department's audience and groups that stay within it.
All declared source assertions and state checks satisfy the named behavior.</t>
  </si>
  <si>
    <t>AT-120</t>
  </si>
  <si>
    <t>offers no department audience before a responsible department is chosen</t>
  </si>
  <si>
    <t>1. Load the source-defined test fixtures.
2. Run this check using the configured repository test runner.
3. Exercise: offers no department audience before a responsible department is chosen
4. Verify the test's assertions and side effects.</t>
  </si>
  <si>
    <t>offers no department audience before a responsible department is chosen.
All declared source assertions and state checks satisfy the named behavior.</t>
  </si>
  <si>
    <t>AT-121</t>
  </si>
  <si>
    <t>replaces the department audience when the organization audience is added, and the reverse</t>
  </si>
  <si>
    <t>1. Load the source-defined test fixtures.
2. Run this check using the configured repository test runner.
3. Exercise: replaces the department audience when the organization audience is added, and the reverse
4. Verify the test's assertions and side effects.</t>
  </si>
  <si>
    <t>replaces the department audience when the organization audience is added, and the reverse.
All declared source assertions and state checks satisfy the named behavior.</t>
  </si>
  <si>
    <t>AT-122</t>
  </si>
  <si>
    <t>does not duplicate a reader and removes one by id</t>
  </si>
  <si>
    <t>1. Load the source-defined test fixtures.
2. Run this check using the configured repository test runner.
3. Exercise: does not duplicate a reader and removes one by id
4. Verify the test's assertions and side effects.</t>
  </si>
  <si>
    <t>does not duplicate a reader and removes one by id.
The named invariant holds under the exercised input.</t>
  </si>
  <si>
    <t>AT-123</t>
  </si>
  <si>
    <t>follows the organization or department audience</t>
  </si>
  <si>
    <t>1. Load the source-defined test fixtures.
2. Run this check using the configured repository test runner.
3. Exercise: follows the organization or department audience
4. Verify the test's assertions and side effects.</t>
  </si>
  <si>
    <t>follows the organization or department audience.
All declared source assertions and state checks satisfy the named behavior.</t>
  </si>
  <si>
    <t>AT-124</t>
  </si>
  <si>
    <t>keeps the current scope for groups only, defaulting to Organization</t>
  </si>
  <si>
    <t>1. Load the source-defined test fixtures.
2. Run this check using the configured repository test runner.
3. Exercise: keeps the current scope for groups only, defaulting to Organization
4. Verify the test's assertions and side effects.</t>
  </si>
  <si>
    <t>keeps the current scope for groups only, defaulting to Organization.
The named invariant holds under the exercised input.</t>
  </si>
  <si>
    <t>AT-125</t>
  </si>
  <si>
    <t>always yields a selection the existing audience rules accept</t>
  </si>
  <si>
    <t>1. Load the source-defined test fixtures.
2. Run this check using the configured repository test runner.
3. Exercise: always yields a selection the existing audience rules accept
4. Verify the test's assertions and side effects.</t>
  </si>
  <si>
    <t>always yields a selection the existing audience rules accept.
All declared source assertions and state checks satisfy the named behavior.</t>
  </si>
  <si>
    <t>AT-126</t>
  </si>
  <si>
    <t>detects a groups-only selection</t>
  </si>
  <si>
    <t>1. Load the source-defined test fixtures.
2. Run this check using the configured repository test runner.
3. Exercise: detects a groups-only selection
4. Verify the test's assertions and side effects.</t>
  </si>
  <si>
    <t>detects a groups-only selection.
All declared source assertions and state checks satisfy the named behavior.</t>
  </si>
  <si>
    <t>AT-127</t>
  </si>
  <si>
    <t>uses the member primary department when the server reports one, ignoring the stored choice</t>
  </si>
  <si>
    <t>1. Load the source-defined test fixtures.
2. Run this check using the configured repository test runner.
3. Exercise: uses the member primary department when the server reports one, ignoring the stored choice
4. Verify the test's assertions and side effects.</t>
  </si>
  <si>
    <t>uses the member primary department when the server reports one, ignoring the stored choice.
All declared source assertions and state checks satisfy the named behavior.</t>
  </si>
  <si>
    <t>AT-128</t>
  </si>
  <si>
    <t>reports a missing primary department so submission stays blocked</t>
  </si>
  <si>
    <t>1. Load the source-defined test fixtures.
2. Run this check using the configured repository test runner.
3. Exercise: reports a missing primary department so submission stays blocked
4. Verify the test's assertions and side effects.</t>
  </si>
  <si>
    <t>reports a missing primary department so submission stays blocked.
The response or exposed contract matches the expected fixture and assertions.</t>
  </si>
  <si>
    <t>AT-129</t>
  </si>
  <si>
    <t>falls back to the stored choice for a server without the rule</t>
  </si>
  <si>
    <t>1. Load the source-defined test fixtures.
2. Run this check using the configured repository test runner.
3. Exercise: falls back to the stored choice for a server without the rule
4. Verify the test's assertions and side effects.</t>
  </si>
  <si>
    <t>falls back to the stored choice for a server without the rule.
All declared source assertions and state checks satisfy the named behavior.</t>
  </si>
  <si>
    <t>workQueueModel (4)</t>
  </si>
  <si>
    <t>AT-130</t>
  </si>
  <si>
    <t>keeps urgency order and includes the review item in the queue</t>
  </si>
  <si>
    <t>1. Load the source-defined test fixtures.
2. Run this check using the configured repository test runner.
3. Exercise: keeps urgency order and includes the review item in the queue
4. Verify the test's assertions and side effects.</t>
  </si>
  <si>
    <t>keeps urgency order and includes the review item in the queue.
The named invariant holds under the exercised input.</t>
  </si>
  <si>
    <t>AT-131</t>
  </si>
  <si>
    <t>matches trimmed case-insensitive metadata</t>
  </si>
  <si>
    <t>1. Load the source-defined test fixtures.
2. Run this check using the configured repository test runner.
3. Exercise: matches trimmed case-insensitive metadata
4. Verify the test's assertions and side effects.</t>
  </si>
  <si>
    <t>matches trimmed case-insensitive metadata.
All declared source assertions and state checks satisfy the named behavior.</t>
  </si>
  <si>
    <t>AT-132</t>
  </si>
  <si>
    <t>combines search, type and status without mutating the fixture</t>
  </si>
  <si>
    <t>1. Load the source-defined test fixtures.
2. Run this check using the configured repository test runner.
3. Exercise: combines search, type and status without mutating the fixture
4. Verify the test's assertions and side effects.</t>
  </si>
  <si>
    <t>combines search, type and status without mutating the fixture.
All declared source assertions and state checks satisfy the named behavior.</t>
  </si>
  <si>
    <t>AT-133</t>
  </si>
  <si>
    <t>supports no-match and empty inputs</t>
  </si>
  <si>
    <t>1. Load the source-defined test fixtures.
2. Run this check using the configured repository test runner.
3. Exercise: supports no-match and empty inputs
4. Verify the test's assertions and side effects.</t>
  </si>
  <si>
    <t>supports no-match and empty inputs.
All declared source assertions and state checks satisfy the named behavior.</t>
  </si>
  <si>
    <t>apiClient (20)</t>
  </si>
  <si>
    <t>AT-134</t>
  </si>
  <si>
    <t>keeps a lost write response uncertain, without claiming the write failed</t>
  </si>
  <si>
    <t>1. Load the source-defined test fixtures.
2. Run this check using the configured repository test runner.
3. Exercise: keeps a lost write response uncertain, without claiming the write failed
4. Verify the test's assertions and side effects.</t>
  </si>
  <si>
    <t>keeps a lost write response uncertain, without claiming the write failed.
The named invariant holds under the exercised input.</t>
  </si>
  <si>
    <t>AT-135</t>
  </si>
  <si>
    <t>shows readable document errors while retaining the machine code</t>
  </si>
  <si>
    <t>1. Load the source-defined test fixtures.
2. Run this check using the configured repository test runner.
3. Exercise: shows readable document errors while retaining the machine code
4. Verify the test's assertions and side effects.</t>
  </si>
  <si>
    <t>shows readable document errors while retaining the machine code.
Expected UI text, state and presentation appear in the test assertions.</t>
  </si>
  <si>
    <t>AT-136</t>
  </si>
  <si>
    <t>uses Arden's sign-in endpoint and HttpOnly web cookies</t>
  </si>
  <si>
    <t>1. Load the source-defined test fixtures.
2. Run this check using the configured repository test runner.
3. Exercise: uses Arden's sign-in endpoint and HttpOnly web cookies
4. Verify the test's assertions and side effects.</t>
  </si>
  <si>
    <t>uses Arden's sign-in endpoint and HttpOnly web cookies.
All declared source assertions and state checks satisfy the named behavior.</t>
  </si>
  <si>
    <t>AT-137</t>
  </si>
  <si>
    <t>normalizes sessions from an older remote API without account setup state</t>
  </si>
  <si>
    <t>1. Load the source-defined test fixtures.
2. Run this check using the configured repository test runner.
3. Exercise: normalizes sessions from an older remote API without account setup state
4. Verify the test's assertions and side effects.</t>
  </si>
  <si>
    <t>normalizes sessions from an older remote API without account setup state.
All declared source assertions and state checks satisfy the named behavior.</t>
  </si>
  <si>
    <t>AT-138</t>
  </si>
  <si>
    <t>submits registration through the sign-up endpoint on web</t>
  </si>
  <si>
    <t>1. Load the source-defined test fixtures.
2. Run this check using the configured repository test runner.
3. Exercise: submits registration through the sign-up endpoint on web
4. Verify the test's assertions and side effects.</t>
  </si>
  <si>
    <t>submits registration through the sign-up endpoint on web.
All declared source assertions and state checks satisfy the named behavior.</t>
  </si>
  <si>
    <t>AT-139</t>
  </si>
  <si>
    <t>fetches invitation preview with encoded token</t>
  </si>
  <si>
    <t>1. Load the source-defined test fixtures.
2. Run this check using the configured repository test runner.
3. Exercise: fetches invitation preview with encoded token
4. Verify the test's assertions and side effects.</t>
  </si>
  <si>
    <t>fetches invitation preview with encoded token.
All declared source assertions and state checks satisfy the named behavior.</t>
  </si>
  <si>
    <t>AT-140</t>
  </si>
  <si>
    <t>deletes empty department through API client</t>
  </si>
  <si>
    <t>1. Load the source-defined test fixtures.
2. Run this check using the configured repository test runner.
3. Exercise: deletes empty department through API client
4. Verify the test's assertions and side effects.</t>
  </si>
  <si>
    <t>deletes empty department through API client.
All declared source assertions and state checks satisfy the named behavior.</t>
  </si>
  <si>
    <t>AT-141</t>
  </si>
  <si>
    <t>submits registration through the desktop bridge</t>
  </si>
  <si>
    <t>1. Load the source-defined test fixtures.
2. Run this check using the configured repository test runner.
3. Exercise: submits registration through the desktop bridge
4. Verify the test's assertions and side effects.</t>
  </si>
  <si>
    <t>submits registration through the desktop bridge.
All declared source assertions and state checks satisfy the named behavior.</t>
  </si>
  <si>
    <t>AT-142</t>
  </si>
  <si>
    <t>keeps desktop cookies inside the secure main-process bridge</t>
  </si>
  <si>
    <t>1. Load the source-defined test fixtures.
2. Run this check using the configured repository test runner.
3. Exercise: keeps desktop cookies inside the secure main-process bridge
4. Verify the test's assertions and side effects.</t>
  </si>
  <si>
    <t>keeps desktop cookies inside the secure main-process bridge.
The named invariant holds under the exercised input.</t>
  </si>
  <si>
    <t>AT-143</t>
  </si>
  <si>
    <t>finishes desktop Google sign-in through the isolated main-process window</t>
  </si>
  <si>
    <t>1. Load the source-defined test fixtures.
2. Run this check using the configured repository test runner.
3. Exercise: finishes desktop Google sign-in through the isolated main-process window
4. Verify the test's assertions and side effects.</t>
  </si>
  <si>
    <t>finishes desktop Google sign-in through the isolated main-process window.
All declared source assertions and state checks satisfy the named behavior.</t>
  </si>
  <si>
    <t>AT-144</t>
  </si>
  <si>
    <t>creates the initial Arden password and refreshes the account state</t>
  </si>
  <si>
    <t>1. Load the source-defined test fixtures.
2. Run this check using the configured repository test runner.
3. Exercise: creates the initial Arden password and refreshes the account state
4. Verify the test's assertions and side effects.</t>
  </si>
  <si>
    <t>creates the initial Arden password and refreshes the account state.
All declared source assertions and state checks satisfy the named behavior.</t>
  </si>
  <si>
    <t>AT-145</t>
  </si>
  <si>
    <t>forwards update versions and clears encrypted desktop sessions after sign-out</t>
  </si>
  <si>
    <t>1. Load the source-defined test fixtures.
2. Run this check using the configured repository test runner.
3. Exercise: forwards update versions and clears encrypted desktop sessions after sign-out
4. Verify the test's assertions and side effects.</t>
  </si>
  <si>
    <t>forwards update versions and clears encrypted desktop sessions after sign-out.
All declared source assertions and state checks satisfy the named behavior.</t>
  </si>
  <si>
    <t>AT-146</t>
  </si>
  <si>
    <t>copies an exact private version through the authenticated web API</t>
  </si>
  <si>
    <t>1. Load the source-defined test fixtures.
2. Run this check using the configured repository test runner.
3. Exercise: copies an exact private version through the authenticated web API
4. Verify the test's assertions and side effects.</t>
  </si>
  <si>
    <t>copies an exact private version through the authenticated web API.
All declared source assertions and state checks satisfy the named behavior.</t>
  </si>
  <si>
    <t>AT-147</t>
  </si>
  <si>
    <t>omits the classification when none is chosen and accepts the server default (decision 0013)</t>
  </si>
  <si>
    <t>1. Load the source-defined test fixtures.
2. Run this check using the configured repository test runner.
3. Exercise: omits the classification when none is chosen and accepts the server default (decision 0013)
4. Verify the test's assertions and side effects.</t>
  </si>
  <si>
    <t>omits the classification when none is chosen and accepts the server default (decision 0013).
All declared source assertions and state checks satisfy the named behavior.</t>
  </si>
  <si>
    <t>AT-148</t>
  </si>
  <si>
    <t>passes the idempotency key through the narrow desktop bridge</t>
  </si>
  <si>
    <t>1. Load the source-defined test fixtures.
2. Run this check using the configured repository test runner.
3. Exercise: passes the idempotency key through the narrow desktop bridge
4. Verify the test's assertions and side effects.</t>
  </si>
  <si>
    <t>passes the idempotency key through the narrow desktop bridge.
All declared source assertions and state checks satisfy the named behavior.</t>
  </si>
  <si>
    <t>AT-149</t>
  </si>
  <si>
    <t>does not treat an invalid or denied server response as a saved draft</t>
  </si>
  <si>
    <t>1. Load the source-defined test fixtures.
2. Run this check using the configured repository test runner.
3. Exercise: does not treat an invalid or denied server response as a saved draft
4. Verify the test's assertions and side effects.</t>
  </si>
  <si>
    <t>does not treat an invalid or denied server response as a saved draft.
The named invariant holds under the exercised input.</t>
  </si>
  <si>
    <t>AT-150</t>
  </si>
  <si>
    <t>treats a lost response as uncertain, not as a confirmed failed create</t>
  </si>
  <si>
    <t>1. Load the source-defined test fixtures.
2. Run this check using the configured repository test runner.
3. Exercise: treats a lost response as uncertain, not as a confirmed failed create
4. Verify the test's assertions and side effects.</t>
  </si>
  <si>
    <t>treats a lost response as uncertain, not as a confirmed failed create.
All declared source assertions and state checks satisfy the named behavior.</t>
  </si>
  <si>
    <t>AT-151</t>
  </si>
  <si>
    <t>encodes a selected local PDF through the desktop bridge</t>
  </si>
  <si>
    <t>1. Load the source-defined test fixtures.
2. Run this check using the configured repository test runner.
3. Exercise: encodes a selected local PDF through the desktop bridge
4. Verify the test's assertions and side effects.</t>
  </si>
  <si>
    <t>encodes a selected local PDF through the desktop bridge.
All declared source assertions and state checks satisfy the named behavior.</t>
  </si>
  <si>
    <t>AT-152</t>
  </si>
  <si>
    <t>sends draft preconditions and idempotency through the desktop bridge</t>
  </si>
  <si>
    <t>1. Load the source-defined test fixtures.
2. Run this check using the configured repository test runner.
3. Exercise: sends draft preconditions and idempotency through the desktop bridge
4. Verify the test's assertions and side effects.</t>
  </si>
  <si>
    <t>sends draft preconditions and idempotency through the desktop bridge.
All declared source assertions and state checks satisfy the named behavior.</t>
  </si>
  <si>
    <t>AT-153</t>
  </si>
  <si>
    <t>binds a decision to the exact submitted snapshot and hash</t>
  </si>
  <si>
    <t>1. Load the source-defined test fixtures.
2. Run this check using the configured repository test runner.
3. Exercise: binds a decision to the exact submitted snapshot and hash
4. Verify the test's assertions and side effects.</t>
  </si>
  <si>
    <t>binds a decision to the exact submitted snapshot and hash.
All declared source assertions and state checks satisfy the named behavior.</t>
  </si>
  <si>
    <t>cancellation (8)</t>
  </si>
  <si>
    <t>AT-154</t>
  </si>
  <si>
    <t>clears an unsent chat prompt without calling the AI</t>
  </si>
  <si>
    <t>1. Load the source-defined test fixtures.
2. Run this check using the configured repository test runner.
3. Exercise: clears an unsent chat prompt without calling the AI
4. Verify the test's assertions and side effects.</t>
  </si>
  <si>
    <t>clears an unsent chat prompt without calling the AI.
All declared source assertions and state checks satisfy the named behavior.</t>
  </si>
  <si>
    <t>AT-155</t>
  </si>
  <si>
    <t>stops waiting, restores the prompt and ignores a late answer without corrupting the next request</t>
  </si>
  <si>
    <t>1. Load the source-defined test fixtures.
2. Run this check using the configured repository test runner.
3. Exercise: stops waiting, restores the prompt and ignores a late answer without corrupting the next request
4. Verify the test's assertions and side effects.</t>
  </si>
  <si>
    <t>stops waiting, restores the prompt and ignores a late answer without corrupting the next request.
All declared source assertions and state checks satisfy the named behavior.</t>
  </si>
  <si>
    <t>AT-156</t>
  </si>
  <si>
    <t>allows keeping or discarding selected note edits without a server write</t>
  </si>
  <si>
    <t>1. Load the source-defined test fixtures.
2. Run this check using the configured repository test runner.
3. Exercise: allows keeping or discarding selected note edits without a server write
4. Verify the test's assertions and side effects.</t>
  </si>
  <si>
    <t>allows keeping or discarding selected note edits without a server write.
The authorized operation behaves as asserted by the test.</t>
  </si>
  <si>
    <t>AT-157</t>
  </si>
  <si>
    <t>removes a never-saved note locally and clears its dirty state</t>
  </si>
  <si>
    <t>1. Load the source-defined test fixtures.
2. Run this check using the configured repository test runner.
3. Exercise: removes a never-saved note locally and clears its dirty state
4. Verify the test's assertions and side effects.</t>
  </si>
  <si>
    <t>removes a never-saved note locally and clears its dirty state.
All declared source assertions and state checks satisfy the named behavior.</t>
  </si>
  <si>
    <t>AT-158</t>
  </si>
  <si>
    <t>cancels a new reader group without saving or leaving its dirty guard active</t>
  </si>
  <si>
    <t>1. Load the source-defined test fixtures.
2. Run this check using the configured repository test runner.
3. Exercise: cancels a new reader group without saving or leaving its dirty guard active
4. Verify the test's assertions and side effects.</t>
  </si>
  <si>
    <t>cancels a new reader group without saving or leaving its dirty guard active.
All declared source assertions and state checks satisfy the named behavior.</t>
  </si>
  <si>
    <t>AT-159</t>
  </si>
  <si>
    <t>returns focus to creating a note when the last unsaved note is discarded</t>
  </si>
  <si>
    <t>1. Load the source-defined test fixtures.
2. Run this check using the configured repository test runner.
3. Exercise: returns focus to creating a note when the last unsaved note is discarded
4. Verify the test's assertions and side effects.</t>
  </si>
  <si>
    <t>returns focus to creating a note when the last unsaved note is discarded.
The response or exposed contract matches the expected fixture and assertions.</t>
  </si>
  <si>
    <t>AT-160</t>
  </si>
  <si>
    <t>returns focus to a reader-group row after closing or discarding its details</t>
  </si>
  <si>
    <t>1. Load the source-defined test fixtures.
2. Run this check using the configured repository test runner.
3. Exercise: returns focus to a reader-group row after closing or discarding its details
4. Verify the test's assertions and side effects.</t>
  </si>
  <si>
    <t>returns focus to a reader-group row after closing or discarding its details.
The response or exposed contract matches the expected fixture and assertions.</t>
  </si>
  <si>
    <t>AT-161</t>
  </si>
  <si>
    <t>clears department, invitation and reviewer forms without changing saved data</t>
  </si>
  <si>
    <t>1. Load the source-defined test fixtures.
2. Run this check using the configured repository test runner.
3. Exercise: clears department, invitation and reviewer forms without changing saved data
4. Verify the test's assertions and side effects.</t>
  </si>
  <si>
    <t>clears department, invitation and reviewer forms without changing saved data.
All declared source assertions and state checks satisfy the named behavior.</t>
  </si>
  <si>
    <t>icons (2)</t>
  </si>
  <si>
    <t>AT-162</t>
  </si>
  <si>
    <t>maps every icon to a glyph available in the pinned Regular Rounded family</t>
  </si>
  <si>
    <t>1. Load the source-defined test fixtures.
2. Run this check using the configured repository test runner.
3. Exercise: maps every icon to a glyph available in the pinned Regular Rounded family
4. Verify the test's assertions and side effects.</t>
  </si>
  <si>
    <t>maps every icon to a glyph available in the pinned Regular Rounded family.
All declared source assertions and state checks satisfy the named behavior.</t>
  </si>
  <si>
    <t>AT-163</t>
  </si>
  <si>
    <t>keeps decorative icons out of the accessible name and preserves requested size</t>
  </si>
  <si>
    <t>1. Load the source-defined test fixtures.
2. Run this check using the configured repository test runner.
3. Exercise: keeps decorative icons out of the accessible name and preserves requested size
4. Verify the test's assertions and side effects.</t>
  </si>
  <si>
    <t>keeps decorative icons out of the accessible name and preserves requested size.
The named invariant holds under the exercised input.</t>
  </si>
  <si>
    <t>workspaceNavigation (5)</t>
  </si>
  <si>
    <t>AT-164</t>
  </si>
  <si>
    <t>shows Ask Arden and governance destinations for admin</t>
  </si>
  <si>
    <t>1. Load the source-defined test fixtures.
2. Run this check using the configured repository test runner.
3. Exercise: shows Ask Arden and governance destinations for admin
4. Verify the test's assertions and side effects.</t>
  </si>
  <si>
    <t>shows Ask Arden and governance destinations for admin.
Expected UI text, state and presentation appear in the test assertions.</t>
  </si>
  <si>
    <t>AT-165</t>
  </si>
  <si>
    <t>shows Ask Arden and governance destinations for member</t>
  </si>
  <si>
    <t>1. Load the source-defined test fixtures.
2. Run this check using the configured repository test runner.
3. Exercise: shows Ask Arden and governance destinations for member
4. Verify the test's assertions and side effects.</t>
  </si>
  <si>
    <t>shows Ask Arden and governance destinations for member.
Expected UI text, state and presentation appear in the test assertions.</t>
  </si>
  <si>
    <t>AT-166</t>
  </si>
  <si>
    <t>shows Administration only to organization admins</t>
  </si>
  <si>
    <t>1. Load the source-defined test fixtures.
2. Run this check using the configured repository test runner.
3. Exercise: shows Administration only to organization admins
4. Verify the test's assertions and side effects.</t>
  </si>
  <si>
    <t>shows Administration only to organization admins.
Expected UI text, state and presentation appear in the test assertions.</t>
  </si>
  <si>
    <t>AT-167</t>
  </si>
  <si>
    <t>keeps only connected destinations enabled for signed-in sessions</t>
  </si>
  <si>
    <t>1. Load the source-defined test fixtures.
2. Run this check using the configured repository test runner.
3. Exercise: keeps only connected destinations enabled for signed-in sessions
4. Verify the test's assertions and side effects.</t>
  </si>
  <si>
    <t>keeps only connected destinations enabled for signed-in sessions.
The named invariant holds under the exercised input.</t>
  </si>
  <si>
    <t>AT-168</t>
  </si>
  <si>
    <t>enables every sample destination except planned integrations</t>
  </si>
  <si>
    <t>1. Load the source-defined test fixtures.
2. Run this check using the configured repository test runner.
3. Exercise: enables every sample destination except planned integrations
4. Verify the test's assertions and side effects.</t>
  </si>
  <si>
    <t>enables every sample destination except planned integrations.
All declared source assertions and state checks satisfy the named behavior.</t>
  </si>
  <si>
    <t>app (45)</t>
  </si>
  <si>
    <t>AT-169</t>
  </si>
  <si>
    <t>keeps health routes public and reports readiness failures safely</t>
  </si>
  <si>
    <t>1. Load the source-defined test fixtures.
2. Run this check using the configured repository test runner.
3. Exercise: keeps health routes public and reports readiness failures safely
4. Verify the test's assertions and side effects.</t>
  </si>
  <si>
    <t>keeps health routes public and reports readiness failures safely.
The named invariant holds under the exercised input.</t>
  </si>
  <si>
    <t>API source-test fixtures; fake sessions, repository or request dependencies as declared by this test.</t>
  </si>
  <si>
    <t>AT-170</t>
  </si>
  <si>
    <t>answers only from the caller's authorized generation and maps a live citation</t>
  </si>
  <si>
    <t>1. Load the source-defined test fixtures.
2. Run this check using the configured repository test runner.
3. Exercise: answers only from the caller's authorized generation and maps a live citation
4. Verify the test's assertions and side effects.</t>
  </si>
  <si>
    <t>answers only from the caller's authorized generation and maps a live citation.
All declared source assertions and state checks satisfy the named behavior.</t>
  </si>
  <si>
    <t>AT-171</t>
  </si>
  <si>
    <t>drops the answer when publication access changes before citations are returned</t>
  </si>
  <si>
    <t>1. Load the source-defined test fixtures.
2. Run this check using the configured repository test runner.
3. Exercise: drops the answer when publication access changes before citations are returned
4. Verify the test's assertions and side effects.</t>
  </si>
  <si>
    <t>drops the answer when publication access changes before citations are returned.
All declared source assertions and state checks satisfy the named behavior.</t>
  </si>
  <si>
    <t>AT-172</t>
  </si>
  <si>
    <t>rejects an AI citation with invented block even when snapshot permission is valid</t>
  </si>
  <si>
    <t>1. Load the source-defined test fixtures.
2. Run this check using the configured repository test runner.
3. Exercise: rejects an AI citation with invented block even when snapshot permission is valid
4. Verify the test's assertions and side effects.</t>
  </si>
  <si>
    <t>rejects an AI citation with invented block even when snapshot permission is valid.
Invalid or unauthorized behavior is blocked without a prohibited state change.</t>
  </si>
  <si>
    <t>AT-173</t>
  </si>
  <si>
    <t>rejects an AI citation with unlisted chunk even when snapshot permission is valid</t>
  </si>
  <si>
    <t>1. Load the source-defined test fixtures.
2. Run this check using the configured repository test runner.
3. Exercise: rejects an AI citation with unlisted chunk even when snapshot permission is valid
4. Verify the test's assertions and side effects.</t>
  </si>
  <si>
    <t>rejects an AI citation with unlisted chunk even when snapshot permission is valid.
Invalid or unauthorized behavior is blocked without a prohibited state change.</t>
  </si>
  <si>
    <t>AT-174</t>
  </si>
  <si>
    <t>rejects an AI citation with wrong parent section even when snapshot permission is valid</t>
  </si>
  <si>
    <t>1. Load the source-defined test fixtures.
2. Run this check using the configured repository test runner.
3. Exercise: rejects an AI citation with wrong parent section even when snapshot permission is valid
4. Verify the test's assertions and side effects.</t>
  </si>
  <si>
    <t>rejects an AI citation with wrong parent section even when snapshot permission is valid.
Invalid or unauthorized behavior is blocked without a prohibited state change.</t>
  </si>
  <si>
    <t>AT-175</t>
  </si>
  <si>
    <t>rejects text exceeding semantic block or serialized-envelope limits [case 1: x\n]</t>
  </si>
  <si>
    <t>1. Load the source-defined test fixtures.
2. Run this check using the configured repository test runner.
3. Exercise: rejects text exceeding semantic block or serialized-envelope limits [case 1: x\n]
4. Verify the test's assertions and side effects.</t>
  </si>
  <si>
    <t>rejects text exceeding semantic block or serialized-envelope limits [case 1: x\n].
Invalid or unauthorized behavior is blocked without a prohibited state change.</t>
  </si>
  <si>
    <t>AT-176</t>
  </si>
  <si>
    <t>rejects text exceeding semantic block or serialized-envelope limits [case 2: x\n]</t>
  </si>
  <si>
    <t>1. Load the source-defined test fixtures.
2. Run this check using the configured repository test runner.
3. Exercise: rejects text exceeding semantic block or serialized-envelope limits [case 2: x\n]
4. Verify the test's assertions and side effects.</t>
  </si>
  <si>
    <t>rejects text exceeding semantic block or serialized-envelope limits [case 2: x\n].
Invalid or unauthorized behavior is blocked without a prohibited state change.</t>
  </si>
  <si>
    <t>AT-177</t>
  </si>
  <si>
    <t>signs in through the Supabase adapter and returns only the caller's membership context</t>
  </si>
  <si>
    <t>1. Load the source-defined test fixtures.
2. Run this check using the configured repository test runner.
3. Exercise: signs in through the Supabase adapter and returns only the caller's membership context
4. Verify the test's assertions and side effects.</t>
  </si>
  <si>
    <t>signs in through the Supabase adapter and returns only the caller's membership context.
All declared source assertions and state checks satisfy the named behavior.</t>
  </si>
  <si>
    <t>AT-178</t>
  </si>
  <si>
    <t>completes Google PKCE sign-in and requires a one-time Arden password</t>
  </si>
  <si>
    <t>1. Load the source-defined test fixtures.
2. Run this check using the configured repository test runner.
3. Exercise: completes Google PKCE sign-in and requires a one-time Arden password
4. Verify the test's assertions and side effects.</t>
  </si>
  <si>
    <t>completes Google PKCE sign-in and requires a one-time Arden password.
All declared source assertions and state checks satisfy the named behavior.</t>
  </si>
  <si>
    <t>AT-179</t>
  </si>
  <si>
    <t>handles sign-up validation and duplicate account rejection</t>
  </si>
  <si>
    <t>1. Load the source-defined test fixtures.
2. Run this check using the configured repository test runner.
3. Exercise: handles sign-up validation and duplicate account rejection
4. Verify the test's assertions and side effects.</t>
  </si>
  <si>
    <t>handles sign-up validation and duplicate account rejection.
The error or edge case follows the asserted safe handling path.</t>
  </si>
  <si>
    <t>AT-180</t>
  </si>
  <si>
    <t>handles forgot password requests, verification proxy, and password reset</t>
  </si>
  <si>
    <t>1. Load the source-defined test fixtures.
2. Run this check using the configured repository test runner.
3. Exercise: handles forgot password requests, verification proxy, and password reset
4. Verify the test's assertions and side effects.</t>
  </si>
  <si>
    <t>handles forgot password requests, verification proxy, and password reset.
The error or edge case follows the asserted safe handling path.</t>
  </si>
  <si>
    <t>AT-181</t>
  </si>
  <si>
    <t>allows the explicitly injected Kiet Local test actor to use core routes without a login cookie</t>
  </si>
  <si>
    <t>1. Load the source-defined test fixtures.
2. Run this check using the configured repository test runner.
3. Exercise: allows the explicitly injected Kiet Local test actor to use core routes without a login cookie
4. Verify the test's assertions and side effects.</t>
  </si>
  <si>
    <t>allows the explicitly injected Kiet Local test actor to use core routes without a login cookie.
The authorized operation behaves as asserted by the test.</t>
  </si>
  <si>
    <t>AT-182</t>
  </si>
  <si>
    <t>creates an organization with the verified caller as its first admin and primary-department member</t>
  </si>
  <si>
    <t>1. Load the source-defined test fixtures.
2. Run this check using the configured repository test runner.
3. Exercise: creates an organization with the verified caller as its first admin and primary-department member
4. Verify the test's assertions and side effects.</t>
  </si>
  <si>
    <t>creates an organization with the verified caller as its first admin and primary-department member.
All declared source assertions and state checks satisfy the named behavior.</t>
  </si>
  <si>
    <t>AT-183</t>
  </si>
  <si>
    <t>exposes organization administration and audience/department mutations only to the Org Admin</t>
  </si>
  <si>
    <t>1. Load the source-defined test fixtures.
2. Run this check using the configured repository test runner.
3. Exercise: exposes organization administration and audience/department mutations only to the Org Admin
4. Verify the test's assertions and side effects.</t>
  </si>
  <si>
    <t>exposes organization administration and audience/department mutations only to the Org Admin.
The response or exposed contract matches the expected fixture and assertions.</t>
  </si>
  <si>
    <t>AT-184</t>
  </si>
  <si>
    <t>requires a signed-in verified email and validates organization setup input</t>
  </si>
  <si>
    <t>1. Load the source-defined test fixtures.
2. Run this check using the configured repository test runner.
3. Exercise: requires a signed-in verified email and validates organization setup input
4. Verify the test's assertions and side effects.</t>
  </si>
  <si>
    <t>requires a signed-in verified email and validates organization setup input.
All declared source assertions and state checks satisfy the named behavior.</t>
  </si>
  <si>
    <t>AT-185</t>
  </si>
  <si>
    <t>keeps instance administration separate from organization administration</t>
  </si>
  <si>
    <t>1. Load the source-defined test fixtures.
2. Run this check using the configured repository test runner.
3. Exercise: keeps instance administration separate from organization administration
4. Verify the test's assertions and side effects.</t>
  </si>
  <si>
    <t>keeps instance administration separate from organization administration.
The named invariant holds under the exercised input.</t>
  </si>
  <si>
    <t>AT-186</t>
  </si>
  <si>
    <t>does not allow revoking the last active Arden System Admin</t>
  </si>
  <si>
    <t>1. Load the source-defined test fixtures.
2. Run this check using the configured repository test runner.
3. Exercise: does not allow revoking the last active Arden System Admin
4. Verify the test's assertions and side effects.</t>
  </si>
  <si>
    <t>does not allow revoking the last active Arden System Admin.
The named invariant holds under the exercised input.</t>
  </si>
  <si>
    <t>AT-187</t>
  </si>
  <si>
    <t>sends opaque invitations and accepts them only for the matching authenticated email once</t>
  </si>
  <si>
    <t>1. Load the source-defined test fixtures.
2. Run this check using the configured repository test runner.
3. Exercise: sends opaque invitations and accepts them only for the matching authenticated email once
4. Verify the test's assertions and side effects.</t>
  </si>
  <si>
    <t>sends opaque invitations and accepts them only for the matching authenticated email once.
All declared source assertions and state checks satisfy the named behavior.</t>
  </si>
  <si>
    <t>AT-188</t>
  </si>
  <si>
    <t>does not acknowledge invitation delivery when SMTP reports a failure</t>
  </si>
  <si>
    <t>1. Load the source-defined test fixtures.
2. Run this check using the configured repository test runner.
3. Exercise: does not acknowledge invitation delivery when SMTP reports a failure
4. Verify the test's assertions and side effects.</t>
  </si>
  <si>
    <t>does not acknowledge invitation delivery when SMTP reports a failure.
The named invariant holds under the exercised input.</t>
  </si>
  <si>
    <t>AT-189</t>
  </si>
  <si>
    <t>labels local-test invitations as saved without sending email</t>
  </si>
  <si>
    <t>1. Load the source-defined test fixtures.
2. Run this check using the configured repository test runner.
3. Exercise: labels local-test invitations as saved without sending email
4. Verify the test's assertions and side effects.</t>
  </si>
  <si>
    <t>labels local-test invitations as saved without sending email.
Expected UI text, state and presentation appear in the test assertions.</t>
  </si>
  <si>
    <t>AT-190</t>
  </si>
  <si>
    <t>revokes a pending invitation and blocks later acceptance</t>
  </si>
  <si>
    <t>1. Load the source-defined test fixtures.
2. Run this check using the configured repository test runner.
3. Exercise: revokes a pending invitation and blocks later acceptance
4. Verify the test's assertions and side effects.</t>
  </si>
  <si>
    <t>revokes a pending invitation and blocks later acceptance.
All declared source assertions and state checks satisfy the named behavior.</t>
  </si>
  <si>
    <t>AT-191</t>
  </si>
  <si>
    <t>rejects bad credentials, missing sessions, and malformed sign-in payloads</t>
  </si>
  <si>
    <t>1. Load the source-defined test fixtures.
2. Run this check using the configured repository test runner.
3. Exercise: rejects bad credentials, missing sessions, and malformed sign-in payloads
4. Verify the test's assertions and side effects.</t>
  </si>
  <si>
    <t>rejects bad credentials, missing sessions, and malformed sign-in payloads.
Invalid or unauthorized behavior is blocked without a prohibited state change.</t>
  </si>
  <si>
    <t>AT-192</t>
  </si>
  <si>
    <t>keeps invitation account setup non-enumerating and never starts an authenticated session</t>
  </si>
  <si>
    <t>1. Load the source-defined test fixtures.
2. Run this check using the configured repository test runner.
3. Exercise: keeps invitation account setup non-enumerating and never starts an authenticated session
4. Verify the test's assertions and side effects.</t>
  </si>
  <si>
    <t>keeps invitation account setup non-enumerating and never starts an authenticated session.
The named invariant holds under the exercised input.</t>
  </si>
  <si>
    <t>AT-193</t>
  </si>
  <si>
    <t>signs out through Supabase and clears the session cookies</t>
  </si>
  <si>
    <t>1. Load the source-defined test fixtures.
2. Run this check using the configured repository test runner.
3. Exercise: signs out through Supabase and clears the session cookies
4. Verify the test's assertions and side effects.</t>
  </si>
  <si>
    <t>signs out through Supabase and clears the session cookies.
All declared source assertions and state checks satisfy the named behavior.</t>
  </si>
  <si>
    <t>AT-194</t>
  </si>
  <si>
    <t>creates and reads only the authorized owner's note after canonical persistence</t>
  </si>
  <si>
    <t>1. Load the source-defined test fixtures.
2. Run this check using the configured repository test runner.
3. Exercise: creates and reads only the authorized owner's note after canonical persistence
4. Verify the test's assertions and side effects.</t>
  </si>
  <si>
    <t>creates and reads only the authorized owner's note after canonical persistence.
All declared source assertions and state checks satisfy the named behavior.</t>
  </si>
  <si>
    <t>AT-195</t>
  </si>
  <si>
    <t>returns the same safe 404 for forged owner IDs and cross-organization guesses</t>
  </si>
  <si>
    <t>1. Load the source-defined test fixtures.
2. Run this check using the configured repository test runner.
3. Exercise: returns the same safe 404 for forged owner IDs and cross-organization guesses
4. Verify the test's assertions and side effects.</t>
  </si>
  <si>
    <t>returns the same safe 404 for forged owner IDs and cross-organization guesses.
The response or exposed contract matches the expected fixture and assertions.</t>
  </si>
  <si>
    <t>AT-196</t>
  </si>
  <si>
    <t>checks role permission before owner scope and never grants managers another member's note</t>
  </si>
  <si>
    <t>1. Load the source-defined test fixtures.
2. Run this check using the configured repository test runner.
3. Exercise: checks role permission before owner scope and never grants managers another member's note
4. Verify the test's assertions and side effects.</t>
  </si>
  <si>
    <t>checks role permission before owner scope and never grants managers another member's note.
All declared source assertions and state checks satisfy the named behavior.</t>
  </si>
  <si>
    <t>AT-197</t>
  </si>
  <si>
    <t>rejects missing and stale update versions without acknowledging an overwrite</t>
  </si>
  <si>
    <t>1. Load the source-defined test fixtures.
2. Run this check using the configured repository test runner.
3. Exercise: rejects missing and stale update versions without acknowledging an overwrite
4. Verify the test's assertions and side effects.</t>
  </si>
  <si>
    <t>rejects missing and stale update versions without acknowledging an overwrite.
Invalid or unauthorized behavior is blocked without a prohibited state change.</t>
  </si>
  <si>
    <t>AT-198</t>
  </si>
  <si>
    <t>updates with an expected version and advances the immutable version number</t>
  </si>
  <si>
    <t>1. Load the source-defined test fixtures.
2. Run this check using the configured repository test runner.
3. Exercise: updates with an expected version and advances the immutable version number
4. Verify the test's assertions and side effects.</t>
  </si>
  <si>
    <t>updates with an expected version and advances the immutable version number.
All declared source assertions and state checks satisfy the named behavior.</t>
  </si>
  <si>
    <t>AT-199</t>
  </si>
  <si>
    <t>validates tenant identifiers, unknown fields, NULs, and oversized request bodies</t>
  </si>
  <si>
    <t>1. Load the source-defined test fixtures.
2. Run this check using the configured repository test runner.
3. Exercise: validates tenant identifiers, unknown fields, NULs, and oversized request bodies
4. Verify the test's assertions and side effects.</t>
  </si>
  <si>
    <t>validates tenant identifiers, unknown fields, NULs, and oversized request bodies.
All declared source assertions and state checks satisfy the named behavior.</t>
  </si>
  <si>
    <t>AT-200</t>
  </si>
  <si>
    <t>creates an independent shared copy of the author's private version and replays the same request</t>
  </si>
  <si>
    <t>1. Load the source-defined test fixtures.
2. Run this check using the configured repository test runner.
3. Exercise: creates an independent shared copy of the author's private version and replays the same request
4. Verify the test's assertions and side effects.</t>
  </si>
  <si>
    <t>creates an independent shared copy of the author's private version and replays the same request.
All declared source assertions and state checks satisfy the named behavior.</t>
  </si>
  <si>
    <t>AT-201</t>
  </si>
  <si>
    <t>denies missing sessions, foreign organizations or versions, and malformed create requests</t>
  </si>
  <si>
    <t>1. Load the source-defined test fixtures.
2. Run this check using the configured repository test runner.
3. Exercise: denies missing sessions, foreign organizations or versions, and malformed create requests
4. Verify the test's assertions and side effects.</t>
  </si>
  <si>
    <t>denies missing sessions, foreign organizations or versions, and malformed create requests.
Invalid or unauthorized behavior is blocked without a prohibited state change.</t>
  </si>
  <si>
    <t>AT-202</t>
  </si>
  <si>
    <t>keeps a content copy when database commit outcome is unknown</t>
  </si>
  <si>
    <t>1. Load the source-defined test fixtures.
2. Run this check using the configured repository test runner.
3. Exercise: keeps a content copy when database commit outcome is unknown
4. Verify the test's assertions and side effects.</t>
  </si>
  <si>
    <t>keeps a content copy when database commit outcome is unknown.
The named invariant holds under the exercised input.</t>
  </si>
  <si>
    <t>AT-203</t>
  </si>
  <si>
    <t>creates a server-backed new shared draft, then lists and reopens only that actor's draft</t>
  </si>
  <si>
    <t>1. Load the source-defined test fixtures.
2. Run this check using the configured repository test runner.
3. Exercise: creates a server-backed new shared draft, then lists and reopens only that actor's draft
4. Verify the test's assertions and side effects.</t>
  </si>
  <si>
    <t>creates a server-backed new shared draft, then lists and reopens only that actor's draft.
All declared source assertions and state checks satisfy the named behavior.</t>
  </si>
  <si>
    <t>AT-204</t>
  </si>
  <si>
    <t>accepts new drafts and reviewer grants without a classification (decision 0013)</t>
  </si>
  <si>
    <t>1. Load the source-defined test fixtures.
2. Run this check using the configured repository test runner.
3. Exercise: accepts new drafts and reviewer grants without a classification (decision 0013)
4. Verify the test's assertions and side effects.</t>
  </si>
  <si>
    <t>accepts new drafts and reviewer grants without a classification (decision 0013).
The authorized operation behaves as asserted by the test.</t>
  </si>
  <si>
    <t>AT-205</t>
  </si>
  <si>
    <t>creates whole-organization grants and rejects mismatched scope metadata (decision 0015)</t>
  </si>
  <si>
    <t>1. Load the source-defined test fixtures.
2. Run this check using the configured repository test runner.
3. Exercise: creates whole-organization grants and rejects mismatched scope metadata (decision 0015)
4. Verify the test's assertions and side effects.</t>
  </si>
  <si>
    <t>creates whole-organization grants and rejects mismatched scope metadata (decision 0015).
All declared source assertions and state checks satisfy the named behavior.</t>
  </si>
  <si>
    <t>AT-206</t>
  </si>
  <si>
    <t>preserves an uploaded PDF through metadata, submission, review and preparation</t>
  </si>
  <si>
    <t>1. Load the source-defined test fixtures.
2. Run this check using the configured repository test runner.
3. Exercise: preserves an uploaded PDF through metadata, submission, review and preparation
4. Verify the test's assertions and side effects.</t>
  </si>
  <si>
    <t>preserves an uploaded PDF through metadata, submission, review and preparation.
The named invariant holds under the exercised input.</t>
  </si>
  <si>
    <t>AT-207</t>
  </si>
  <si>
    <t>rejects malformed, oversized and cross-organization PDF uploads</t>
  </si>
  <si>
    <t>1. Load the source-defined test fixtures.
2. Run this check using the configured repository test runner.
3. Exercise: rejects malformed, oversized and cross-organization PDF uploads
4. Verify the test's assertions and side effects.</t>
  </si>
  <si>
    <t>rejects malformed, oversized and cross-organization PDF uploads.
Invalid or unauthorized behavior is blocked without a prohibited state change.</t>
  </si>
  <si>
    <t>AT-208</t>
  </si>
  <si>
    <t>exposes active knowledge metadata options only within the actor's organization</t>
  </si>
  <si>
    <t>1. Load the source-defined test fixtures.
2. Run this check using the configured repository test runner.
3. Exercise: exposes active knowledge metadata options only within the actor's organization
4. Verify the test's assertions and side effects.</t>
  </si>
  <si>
    <t>exposes active knowledge metadata options only within the actor's organization.
The response or exposed contract matches the expected fixture and assertions.</t>
  </si>
  <si>
    <t>AT-209</t>
  </si>
  <si>
    <t>rejects invalid new shared drafts and does not reveal another organization</t>
  </si>
  <si>
    <t>1. Load the source-defined test fixtures.
2. Run this check using the configured repository test runner.
3. Exercise: rejects invalid new shared drafts and does not reveal another organization
4. Verify the test's assertions and side effects.</t>
  </si>
  <si>
    <t>rejects invalid new shared drafts and does not reveal another organization.
Invalid or unauthorized behavior is blocked without a prohibited state change.</t>
  </si>
  <si>
    <t>AT-210</t>
  </si>
  <si>
    <t>updates a shared draft as a new version only when If-Match is current</t>
  </si>
  <si>
    <t>1. Load the source-defined test fixtures.
2. Run this check using the configured repository test runner.
3. Exercise: updates a shared draft as a new version only when If-Match is current
4. Verify the test's assertions and side effects.</t>
  </si>
  <si>
    <t>updates a shared draft as a new version only when If-Match is current.
All declared source assertions and state checks satisfy the named behavior.</t>
  </si>
  <si>
    <t>AT-211</t>
  </si>
  <si>
    <t>routes submit, scoped review and preparation without exposing the private source</t>
  </si>
  <si>
    <t>1. Load the source-defined test fixtures.
2. Run this check using the configured repository test runner.
3. Exercise: routes submit, scoped review and preparation without exposing the private source
4. Verify the test's assertions and side effects.</t>
  </si>
  <si>
    <t>routes submit, scoped review and preparation without exposing the private source.
All declared source assertions and state checks satisfy the named behavior.</t>
  </si>
  <si>
    <t>AT-212</t>
  </si>
  <si>
    <t>keeps the working draft mutable while the submitted snapshot remains pending</t>
  </si>
  <si>
    <t>1. Load the source-defined test fixtures.
2. Run this check using the configured repository test runner.
3. Exercise: keeps the working draft mutable while the submitted snapshot remains pending
4. Verify the test's assertions and side effects.</t>
  </si>
  <si>
    <t>keeps the working draft mutable while the submitted snapshot remains pending.
The named invariant holds under the exercised input.</t>
  </si>
  <si>
    <t>AT-213</t>
  </si>
  <si>
    <t>routes desktop-compatible sign-in through the same HttpOnly Supabase session</t>
  </si>
  <si>
    <t>1. Load the source-defined test fixtures.
2. Run this check using the configured repository test runner.
3. Exercise: routes desktop-compatible sign-in through the same HttpOnly Supabase session
4. Verify the test's assertions and side effects.</t>
  </si>
  <si>
    <t>routes desktop-compatible sign-in through the same HttpOnly Supabase session.
All declared source assertions and state checks satisfy the named behavior.</t>
  </si>
  <si>
    <t>local-flow1-test (14)</t>
  </si>
  <si>
    <t>AT-214</t>
  </si>
  <si>
    <t>accepts only the explicit loopback disposable database and local API bind</t>
  </si>
  <si>
    <t>1. Load the source-defined test fixtures.
2. Run this check using the configured repository test runner.
3. Exercise: accepts only the explicit loopback disposable database and local API bind
4. Verify the test's assertions and side effects.</t>
  </si>
  <si>
    <t>accepts only the explicit loopback disposable database and local API bind.
The authorized operation behaves as asserted by the test.</t>
  </si>
  <si>
    <t>AT-215</t>
  </si>
  <si>
    <t>rejects configured Supabase</t>
  </si>
  <si>
    <t>1. Load the source-defined test fixtures.
2. Run this check using the configured repository test runner.
3. Exercise: rejects configured Supabase
4. Verify the test's assertions and side effects.</t>
  </si>
  <si>
    <t>rejects configured Supabase.
Invalid or unauthorized behavior is blocked without a prohibited state change.</t>
  </si>
  <si>
    <t>AT-216</t>
  </si>
  <si>
    <t>rejects Coolify database</t>
  </si>
  <si>
    <t>1. Load the source-defined test fixtures.
2. Run this check using the configured repository test runner.
3. Exercise: rejects Coolify database
4. Verify the test's assertions and side effects.</t>
  </si>
  <si>
    <t>rejects Coolify database.
Invalid or unauthorized behavior is blocked without a prohibited state change.</t>
  </si>
  <si>
    <t>AT-217</t>
  </si>
  <si>
    <t>rejects local development database</t>
  </si>
  <si>
    <t>1. Load the source-defined test fixtures.
2. Run this check using the configured repository test runner.
3. Exercise: rejects local development database
4. Verify the test's assertions and side effects.</t>
  </si>
  <si>
    <t>rejects local development database.
Invalid or unauthorized behavior is blocked without a prohibited state change.</t>
  </si>
  <si>
    <t>AT-218</t>
  </si>
  <si>
    <t>rejects network API bind</t>
  </si>
  <si>
    <t>1. Load the source-defined test fixtures.
2. Run this check using the configured repository test runner.
3. Exercise: rejects network API bind
4. Verify the test's assertions and side effects.</t>
  </si>
  <si>
    <t>rejects network API bind.
Invalid or unauthorized behavior is blocked without a prohibited state change.</t>
  </si>
  <si>
    <t>AT-219</t>
  </si>
  <si>
    <t>rejects production mode</t>
  </si>
  <si>
    <t>1. Load the source-defined test fixtures.
2. Run this check using the configured repository test runner.
3. Exercise: rejects production mode
4. Verify the test's assertions and side effects.</t>
  </si>
  <si>
    <t>rejects production mode.
Invalid or unauthorized behavior is blocked without a prohibited state change.</t>
  </si>
  <si>
    <t>AT-220</t>
  </si>
  <si>
    <t>accepts only bounded synthetic example.test accounts with strong local passwords</t>
  </si>
  <si>
    <t>1. Load the source-defined test fixtures.
2. Run this check using the configured repository test runner.
3. Exercise: accepts only bounded synthetic example.test accounts with strong local passwords
4. Verify the test's assertions and side effects.</t>
  </si>
  <si>
    <t>accepts only bounded synthetic example.test accounts with strong local passwords.
The authorized operation behaves as asserted by the test.</t>
  </si>
  <si>
    <t>AT-221</t>
  </si>
  <si>
    <t>issues revocable in-memory sessions only for configured test accounts</t>
  </si>
  <si>
    <t>1. Load the source-defined test fixtures.
2. Run this check using the configured repository test runner.
3. Exercise: issues revocable in-memory sessions only for configured test accounts
4. Verify the test's assertions and side effects.</t>
  </si>
  <si>
    <t>issues revocable in-memory sessions only for configured test accounts.
All declared source assertions and state checks satisfy the named behavior.</t>
  </si>
  <si>
    <t>AT-222</t>
  </si>
  <si>
    <t>recognizes only the dedicated Kiet Local development database without Supabase</t>
  </si>
  <si>
    <t>1. Load the source-defined test fixtures.
2. Run this check using the configured repository test runner.
3. Exercise: recognizes only the dedicated Kiet Local development database without Supabase
4. Verify the test's assertions and side effects.</t>
  </si>
  <si>
    <t>recognizes only the dedicated Kiet Local development database without Supabase.
All declared source assertions and state checks satisfy the named behavior.</t>
  </si>
  <si>
    <t>AT-223</t>
  </si>
  <si>
    <t>does not enable the mock actor for non-development runtime</t>
  </si>
  <si>
    <t>1. Load the source-defined test fixtures.
2. Run this check using the configured repository test runner.
3. Exercise: does not enable the mock actor for non-development runtime
4. Verify the test's assertions and side effects.</t>
  </si>
  <si>
    <t>does not enable the mock actor for non-development runtime.
The named invariant holds under the exercised input.</t>
  </si>
  <si>
    <t>AT-224</t>
  </si>
  <si>
    <t>does not enable the mock actor for production</t>
  </si>
  <si>
    <t>1. Load the source-defined test fixtures.
2. Run this check using the configured repository test runner.
3. Exercise: does not enable the mock actor for production
4. Verify the test's assertions and side effects.</t>
  </si>
  <si>
    <t>does not enable the mock actor for production.
The named invariant holds under the exercised input.</t>
  </si>
  <si>
    <t>AT-225</t>
  </si>
  <si>
    <t>does not enable the mock actor for Supabase enabled</t>
  </si>
  <si>
    <t>1. Load the source-defined test fixtures.
2. Run this check using the configured repository test runner.
3. Exercise: does not enable the mock actor for Supabase enabled
4. Verify the test's assertions and side effects.</t>
  </si>
  <si>
    <t>does not enable the mock actor for Supabase enabled.
The named invariant holds under the exercised input.</t>
  </si>
  <si>
    <t>AT-226</t>
  </si>
  <si>
    <t>does not enable the mock actor for wrong database host</t>
  </si>
  <si>
    <t>1. Load the source-defined test fixtures.
2. Run this check using the configured repository test runner.
3. Exercise: does not enable the mock actor for wrong database host
4. Verify the test's assertions and side effects.</t>
  </si>
  <si>
    <t>does not enable the mock actor for wrong database host.
The named invariant holds under the exercised input.</t>
  </si>
  <si>
    <t>AT-227</t>
  </si>
  <si>
    <t>does not enable the mock actor for wrong database name</t>
  </si>
  <si>
    <t>1. Load the source-defined test fixtures.
2. Run this check using the configured repository test runner.
3. Exercise: does not enable the mock actor for wrong database name
4. Verify the test's assertions and side effects.</t>
  </si>
  <si>
    <t>does not enable the mock actor for wrong database name.
The named invariant holds under the exercised input.</t>
  </si>
  <si>
    <t>provider (integration) (1)</t>
  </si>
  <si>
    <t>AT-228</t>
  </si>
  <si>
    <t>authenticates the synthetic user and rejects the session after sign-out</t>
  </si>
  <si>
    <t>1. Load the source-defined test fixtures.
2. Run this check using the configured repository test runner.
3. Exercise: authenticates the synthetic user and rejects the session after sign-out
4. Verify the test's assertions and side effects.</t>
  </si>
  <si>
    <t>authenticates the synthetic user and rejects the session after sign-out.
The authorized operation behaves as asserted by the test.</t>
  </si>
  <si>
    <t>Live Supabase test account; ARDEN_TEST_SUPABASE_URL, ARDEN_TEST_SUPABASE_PUBLISHABLE_KEY, ARDEN_TEST_SUPABASE_EMAIL, ARDEN_TEST_SUPABASE_PASSWORD.</t>
  </si>
  <si>
    <t>provider (8)</t>
  </si>
  <si>
    <t>AT-229</t>
  </si>
  <si>
    <t>blocks production Google sign-in when the public Auth origin is missing</t>
  </si>
  <si>
    <t>1. Load the source-defined test fixtures.
2. Run this check using the configured repository test runner.
3. Exercise: blocks production Google sign-in when the public Auth origin is missing
4. Verify the test's assertions and side effects.</t>
  </si>
  <si>
    <t>blocks production Google sign-in when the public Auth origin is missing.
Invalid or unauthorized behavior is blocked without a prohibited state change.</t>
  </si>
  <si>
    <t>AT-230</t>
  </si>
  <si>
    <t>starts Google sign-in on the public Auth host with the exact Arden callback</t>
  </si>
  <si>
    <t>1. Load the source-defined test fixtures.
2. Run this check using the configured repository test runner.
3. Exercise: starts Google sign-in on the public Auth host with the exact Arden callback
4. Verify the test's assertions and side effects.</t>
  </si>
  <si>
    <t>starts Google sign-in on the public Auth host with the exact Arden callback.
All declared source assertions and state checks satisfy the named behavior.</t>
  </si>
  <si>
    <t>AT-231</t>
  </si>
  <si>
    <t>keeps PKCE code exchange on the private Auth gateway</t>
  </si>
  <si>
    <t>1. Load the source-defined test fixtures.
2. Run this check using the configured repository test runner.
3. Exercise: keeps PKCE code exchange on the private Auth gateway
4. Verify the test's assertions and side effects.</t>
  </si>
  <si>
    <t>keeps PKCE code exchange on the private Auth gateway.
The named invariant holds under the exercised input.</t>
  </si>
  <si>
    <t>AT-232</t>
  </si>
  <si>
    <t>rejects an unsafe public Auth URL: http://auth.example.test</t>
  </si>
  <si>
    <t>1. Load the source-defined test fixtures.
2. Run this check using the configured repository test runner.
3. Exercise: rejects an unsafe public Auth URL: http://auth.example.test
4. Verify the test's assertions and side effects.</t>
  </si>
  <si>
    <t>rejects an unsafe public Auth URL: http://auth.example.test.
Invalid or unauthorized behavior is blocked without a prohibited state change.</t>
  </si>
  <si>
    <t>AT-233</t>
  </si>
  <si>
    <t>rejects an unsafe public Auth URL: https://auth.example.test?query=1</t>
  </si>
  <si>
    <t>1. Load the source-defined test fixtures.
2. Run this check using the configured repository test runner.
3. Exercise: rejects an unsafe public Auth URL: https://auth.example.test?query=1
4. Verify the test's assertions and side effects.</t>
  </si>
  <si>
    <t>rejects an unsafe public Auth URL: https://auth.example.test?query=1.
Invalid or unauthorized behavior is blocked without a prohibited state change.</t>
  </si>
  <si>
    <t>AT-234</t>
  </si>
  <si>
    <t>rejects an unsafe public Auth URL: https://auth.example.test/path</t>
  </si>
  <si>
    <t>1. Load the source-defined test fixtures.
2. Run this check using the configured repository test runner.
3. Exercise: rejects an unsafe public Auth URL: https://auth.example.test/path
4. Verify the test's assertions and side effects.</t>
  </si>
  <si>
    <t>rejects an unsafe public Auth URL: https://auth.example.test/path.
Invalid or unauthorized behavior is blocked without a prohibited state change.</t>
  </si>
  <si>
    <t>AT-235</t>
  </si>
  <si>
    <t>rejects an unsafe public Auth URL: https://auth.example.test#fragment</t>
  </si>
  <si>
    <t>1. Load the source-defined test fixtures.
2. Run this check using the configured repository test runner.
3. Exercise: rejects an unsafe public Auth URL: https://auth.example.test#fragment
4. Verify the test's assertions and side effects.</t>
  </si>
  <si>
    <t>rejects an unsafe public Auth URL: https://auth.example.test#fragment.
Invalid or unauthorized behavior is blocked without a prohibited state change.</t>
  </si>
  <si>
    <t>AT-236</t>
  </si>
  <si>
    <t>rejects an unsafe public Auth URL: https://user:pass@auth.example.test</t>
  </si>
  <si>
    <t>1. Load the source-defined test fixtures.
2. Run this check using the configured repository test runner.
3. Exercise: rejects an unsafe public Auth URL: https://user:pass@auth.example.test
4. Verify the test's assertions and side effects.</t>
  </si>
  <si>
    <t>rejects an unsafe public Auth URL: https://user:pass@auth.example.test.
Invalid or unauthorized behavior is blocked without a prohibited state change.</t>
  </si>
  <si>
    <t>smtp-mailer (6)</t>
  </si>
  <si>
    <t>AT-237</t>
  </si>
  <si>
    <t>does not configure invitation delivery when all SMTP settings are empty</t>
  </si>
  <si>
    <t>1. Load the source-defined test fixtures.
2. Run this check using the configured repository test runner.
3. Exercise: does not configure invitation delivery when all SMTP settings are empty
4. Verify the test's assertions and side effects.</t>
  </si>
  <si>
    <t>does not configure invitation delivery when all SMTP settings are empty.
The named invariant holds under the exercised input.</t>
  </si>
  <si>
    <t>AT-238</t>
  </si>
  <si>
    <t>rejects incomplete SMTP settings so a deployment cannot silently send without its configured credentials</t>
  </si>
  <si>
    <t>1. Load the source-defined test fixtures.
2. Run this check using the configured repository test runner.
3. Exercise: rejects incomplete SMTP settings so a deployment cannot silently send without its configured credentials
4. Verify the test's assertions and side effects.</t>
  </si>
  <si>
    <t>rejects incomplete SMTP settings so a deployment cannot silently send without its configured credentials.
Invalid or unauthorized behavior is blocked without a prohibited state change.</t>
  </si>
  <si>
    <t>AT-239</t>
  </si>
  <si>
    <t>validates the port and transport security flag without exposing the password</t>
  </si>
  <si>
    <t>1. Load the source-defined test fixtures.
2. Run this check using the configured repository test runner.
3. Exercise: validates the port and transport security flag without exposing the password
4. Verify the test's assertions and side effects.</t>
  </si>
  <si>
    <t>validates the port and transport security flag without exposing the password.
All declared source assertions and state checks satisfy the named behavior.</t>
  </si>
  <si>
    <t>AT-240</t>
  </si>
  <si>
    <t>requires TLS for STARTTLS SMTP and bounds connection timeouts</t>
  </si>
  <si>
    <t>1. Load the source-defined test fixtures.
2. Run this check using the configured repository test runner.
3. Exercise: requires TLS for STARTTLS SMTP and bounds connection timeouts
4. Verify the test's assertions and side effects.</t>
  </si>
  <si>
    <t>requires TLS for STARTTLS SMTP and bounds connection timeouts.
All declared source assertions and state checks satisfy the named behavior.</t>
  </si>
  <si>
    <t>AT-241</t>
  </si>
  <si>
    <t>uses implicit TLS without STARTTLS negotiation when configured for port 465</t>
  </si>
  <si>
    <t>1. Load the source-defined test fixtures.
2. Run this check using the configured repository test runner.
3. Exercise: uses implicit TLS without STARTTLS negotiation when configured for port 465
4. Verify the test's assertions and side effects.</t>
  </si>
  <si>
    <t>uses implicit TLS without STARTTLS negotiation when configured for port 465.
All declared source assertions and state checks satisfy the named behavior.</t>
  </si>
  <si>
    <t>AT-242</t>
  </si>
  <si>
    <t>sends both text and embedded professional HTML when dispatching an invitation</t>
  </si>
  <si>
    <t>1. Load the source-defined test fixtures.
2. Run this check using the configured repository test runner.
3. Exercise: sends both text and embedded professional HTML when dispatching an invitation
4. Verify the test's assertions and side effects.</t>
  </si>
  <si>
    <t>sends both text and embedded professional HTML when dispatching an invitation.
All declared source assertions and state checks satisfy the named behavior.</t>
  </si>
  <si>
    <t>citation-page (2)</t>
  </si>
  <si>
    <t>AT-243</t>
  </si>
  <si>
    <t>reads the PDF page from a source block</t>
  </si>
  <si>
    <t>1. Load the source-defined test fixtures.
2. Run this check using the configured repository test runner.
3. Exercise: reads the PDF page from a source block
4. Verify the test's assertions and side effects.</t>
  </si>
  <si>
    <t>reads the PDF page from a source block.
All declared source assertions and state checks satisfy the named behavior.</t>
  </si>
  <si>
    <t>AT-244</t>
  </si>
  <si>
    <t>falls back to the parent section and ignores non-PDF blocks</t>
  </si>
  <si>
    <t>1. Load the source-defined test fixtures.
2. Run this check using the configured repository test runner.
3. Exercise: falls back to the parent section and ignores non-PDF blocks
4. Verify the test's assertions and side effects.</t>
  </si>
  <si>
    <t>falls back to the parent section and ignores non-PDF blocks.
All declared source assertions and state checks satisfy the named behavior.</t>
  </si>
  <si>
    <t>contracts (3)</t>
  </si>
  <si>
    <t>AT-245</t>
  </si>
  <si>
    <t>accepts a bounded exact response</t>
  </si>
  <si>
    <t>1. Load the source-defined test fixtures.
2. Run this check using the configured repository test runner.
3. Exercise: accepts a bounded exact response
4. Verify the test's assertions and side effects.</t>
  </si>
  <si>
    <t>accepts a bounded exact response.
The authorized operation behaves as asserted by the test.</t>
  </si>
  <si>
    <t>AT-246</t>
  </si>
  <si>
    <t>rejects unknown fields and ungrounded answered responses</t>
  </si>
  <si>
    <t>1. Load the source-defined test fixtures.
2. Run this check using the configured repository test runner.
3. Exercise: rejects unknown fields and ungrounded answered responses
4. Verify the test's assertions and side effects.</t>
  </si>
  <si>
    <t>rejects unknown fields and ungrounded answered responses.
Invalid or unauthorized behavior is blocked without a prohibited state change.</t>
  </si>
  <si>
    <t>AT-247</t>
  </si>
  <si>
    <t>accepts an honest no-evidence response</t>
  </si>
  <si>
    <t>1. Load the source-defined test fixtures.
2. Run this check using the configured repository test runner.
3. Exercise: accepts an honest no-evidence response
4. Verify the test's assertions and side effects.</t>
  </si>
  <si>
    <t>accepts an honest no-evidence response.
The authorized operation behaves as asserted by the test.</t>
  </si>
  <si>
    <t>policy (17)</t>
  </si>
  <si>
    <t>AT-248</t>
  </si>
  <si>
    <t>reads a group publication only for an active group member</t>
  </si>
  <si>
    <t>1. Load the source-defined test fixtures.
2. Run this check using the configured repository test runner.
3. Exercise: reads a group publication only for an active group member
4. Verify the test's assertions and side effects.</t>
  </si>
  <si>
    <t>reads a group publication only for an active group member.
All declared source assertions and state checks satisfy the named behavior.</t>
  </si>
  <si>
    <t>AT-249</t>
  </si>
  <si>
    <t>uses the active pointer rather than legacy publication dates</t>
  </si>
  <si>
    <t>1. Load the source-defined test fixtures.
2. Run this check using the configured repository test runner.
3. Exercise: uses the active pointer rather than legacy publication dates
4. Verify the test's assertions and side effects.</t>
  </si>
  <si>
    <t>uses the active pointer rather than legacy publication dates.
All declared source assertions and state checks satisfy the named behavior.</t>
  </si>
  <si>
    <t>AT-250</t>
  </si>
  <si>
    <t>applies managed organization and department audiences only at their matching scope</t>
  </si>
  <si>
    <t>1. Load the source-defined test fixtures.
2. Run this check using the configured repository test runner.
3. Exercise: applies managed organization and department audiences only at their matching scope
4. Verify the test's assertions and side effects.</t>
  </si>
  <si>
    <t>applies managed organization and department audiences only at their matching scope.
All declared source assertions and state checks satisfy the named behavior.</t>
  </si>
  <si>
    <t>AT-251</t>
  </si>
  <si>
    <t>does not turn review or administration into publication readership</t>
  </si>
  <si>
    <t>1. Load the source-defined test fixtures.
2. Run this check using the configured repository test runner.
3. Exercise: does not turn review or administration into publication readership
4. Verify the test's assertions and side effects.</t>
  </si>
  <si>
    <t>does not turn review or administration into publication readership.
The named invariant holds under the exercised input.</t>
  </si>
  <si>
    <t>AT-252</t>
  </si>
  <si>
    <t>creates a shared copy only from owned private content or readable publication</t>
  </si>
  <si>
    <t>1. Load the source-defined test fixtures.
2. Run this check using the configured repository test runner.
3. Exercise: creates a shared copy only from owned private content or readable publication
4. Verify the test's assertions and side effects.</t>
  </si>
  <si>
    <t>creates a shared copy only from owned private content or readable publication.
All declared source assertions and state checks satisfy the named behavior.</t>
  </si>
  <si>
    <t>AT-253</t>
  </si>
  <si>
    <t>submits only an immutable, enforceable audience snapshot</t>
  </si>
  <si>
    <t>1. Load the source-defined test fixtures.
2. Run this check using the configured repository test runner.
3. Exercise: submits only an immutable, enforceable audience snapshot
4. Verify the test's assertions and side effects.</t>
  </si>
  <si>
    <t>submits only an immutable, enforceable audience snapshot.
All declared source assertions and state checks satisfy the named behavior.</t>
  </si>
  <si>
    <t>AT-254</t>
  </si>
  <si>
    <t>submits only when the responsible department is the author's current primary department (decision 0014)</t>
  </si>
  <si>
    <t>1. Load the source-defined test fixtures.
2. Run this check using the configured repository test runner.
3. Exercise: submits only when the responsible department is the author's current primary department (decision 0014)
4. Verify the test's assertions and side effects.</t>
  </si>
  <si>
    <t>submits only when the responsible department is the author's current primary department (decision 0014).
All declared source assertions and state checks satisfy the named behavior.</t>
  </si>
  <si>
    <t>AT-255</t>
  </si>
  <si>
    <t>derives the responsible department from the author and rejects any other department (decision 0014)</t>
  </si>
  <si>
    <t>1. Load the source-defined test fixtures.
2. Run this check using the configured repository test runner.
3. Exercise: derives the responsible department from the author and rejects any other department (decision 0014)
4. Verify the test's assertions and side effects.</t>
  </si>
  <si>
    <t>derives the responsible department from the author and rejects any other department (decision 0014).
All declared source assertions and state checks satisfy the named behavior.</t>
  </si>
  <si>
    <t>AT-256</t>
  </si>
  <si>
    <t>uses ReviewerGrant, denies self-review, and requires specialist level for Restricted</t>
  </si>
  <si>
    <t>1. Load the source-defined test fixtures.
2. Run this check using the configured repository test runner.
3. Exercise: uses ReviewerGrant, denies self-review, and requires specialist level for Restricted
4. Verify the test's assertions and side effects.</t>
  </si>
  <si>
    <t>uses ReviewerGrant, denies self-review, and requires specialist level for Restricted.
All declared source assertions and state checks satisfy the named behavior.</t>
  </si>
  <si>
    <t>AT-257</t>
  </si>
  <si>
    <t>allows Organization Admin to review and self-approve without a reviewer grant</t>
  </si>
  <si>
    <t>1. Load the source-defined test fixtures.
2. Run this check using the configured repository test runner.
3. Exercise: allows Organization Admin to review and self-approve without a reviewer grant
4. Verify the test's assertions and side effects.</t>
  </si>
  <si>
    <t>allows Organization Admin to review and self-approve without a reviewer grant.
The authorized operation behaves as asserted by the test.</t>
  </si>
  <si>
    <t>AT-258</t>
  </si>
  <si>
    <t>lets a department reviewer decide a department or group-limited snapshot</t>
  </si>
  <si>
    <t>1. Load the source-defined test fixtures.
2. Run this check using the configured repository test runner.
3. Exercise: lets a department reviewer decide a department or group-limited snapshot
4. Verify the test's assertions and side effects.</t>
  </si>
  <si>
    <t>lets a department reviewer decide a department or group-limited snapshot.
All declared source assertions and state checks satisfy the named behavior.</t>
  </si>
  <si>
    <t>AT-259</t>
  </si>
  <si>
    <t>uses disjoint scopes for new submissions</t>
  </si>
  <si>
    <t>1. Load the source-defined test fixtures.
2. Run this check using the configured repository test runner.
3. Exercise: uses disjoint scopes for new submissions
4. Verify the test's assertions and side effects.</t>
  </si>
  <si>
    <t>uses disjoint scopes for new submissions.
All declared source assertions and state checks satisfy the named behavior.</t>
  </si>
  <si>
    <t>AT-260</t>
  </si>
  <si>
    <t>fails closed when the breadth is not an explicit LIMITED value</t>
  </si>
  <si>
    <t>1. Load the source-defined test fixtures.
2. Run this check using the configured repository test runner.
3. Exercise: fails closed when the breadth is not an explicit LIMITED value
4. Verify the test's assertions and side effects.</t>
  </si>
  <si>
    <t>fails closed when the breadth is not an explicit LIMITED value.
The error or edge case follows the asserted safe handling path.</t>
  </si>
  <si>
    <t>AT-261</t>
  </si>
  <si>
    <t>keeps the transition path for legacy organization-wide submissions</t>
  </si>
  <si>
    <t>1. Load the source-defined test fixtures.
2. Run this check using the configured repository test runner.
3. Exercise: keeps the transition path for legacy organization-wide submissions
4. Verify the test's assertions and side effects.</t>
  </si>
  <si>
    <t>keeps the transition path for legacy organization-wide submissions.
The named invariant holds under the exercised input.</t>
  </si>
  <si>
    <t>AT-262</t>
  </si>
  <si>
    <t>keeps the legacy Restricted level rule for both scopes</t>
  </si>
  <si>
    <t>1. Load the source-defined test fixtures.
2. Run this check using the configured repository test runner.
3. Exercise: keeps the legacy Restricted level rule for both scopes
4. Verify the test's assertions and side effects.</t>
  </si>
  <si>
    <t>keeps the legacy Restricted level rule for both scopes.
The named invariant holds under the exercised input.</t>
  </si>
  <si>
    <t>AT-263</t>
  </si>
  <si>
    <t>rechecks expiry, tags and ordinary self-review for an organization grant</t>
  </si>
  <si>
    <t>1. Load the source-defined test fixtures.
2. Run this check using the configured repository test runner.
3. Exercise: rechecks expiry, tags and ordinary self-review for an organization grant
4. Verify the test's assertions and side effects.</t>
  </si>
  <si>
    <t>rechecks expiry, tags and ordinary self-review for an organization grant.
All declared source assertions and state checks satisfy the named behavior.</t>
  </si>
  <si>
    <t>AT-264</t>
  </si>
  <si>
    <t>keeps Organization Admin final authority from decision 0011</t>
  </si>
  <si>
    <t>1. Load the source-defined test fixtures.
2. Run this check using the configured repository test runner.
3. Exercise: keeps Organization Admin final authority from decision 0011
4. Verify the test's assertions and side effects.</t>
  </si>
  <si>
    <t>keeps Organization Admin final authority from decision 0011.
The named invariant holds under the exercised input.</t>
  </si>
  <si>
    <t>review-decision (6)</t>
  </si>
  <si>
    <t>AT-265</t>
  </si>
  <si>
    <t>plans publication preparation only for an authorized final one-step approval</t>
  </si>
  <si>
    <t>1. Load the source-defined test fixtures.
2. Run this check using the configured repository test runner.
3. Exercise: plans publication preparation only for an authorized final one-step approval
4. Verify the test's assertions and side effects.</t>
  </si>
  <si>
    <t>plans publication preparation only for an authorized final one-step approval.
All declared source assertions and state checks satisfy the named behavior.</t>
  </si>
  <si>
    <t>AT-266</t>
  </si>
  <si>
    <t>never publishes the wrong or corrupted snapshot</t>
  </si>
  <si>
    <t>1. Load the source-defined test fixtures.
2. Run this check using the configured repository test runner.
3. Exercise: never publishes the wrong or corrupted snapshot
4. Verify the test's assertions and side effects.</t>
  </si>
  <si>
    <t>never publishes the wrong or corrupted snapshot.
The named invariant holds under the exercised input.</t>
  </si>
  <si>
    <t>AT-267</t>
  </si>
  <si>
    <t>rechecks identity, active grant, department, policy and self-review</t>
  </si>
  <si>
    <t>1. Load the source-defined test fixtures.
2. Run this check using the configured repository test runner.
3. Exercise: rechecks identity, active grant, department, policy and self-review
4. Verify the test's assertions and side effects.</t>
  </si>
  <si>
    <t>rechecks identity, active grant, department, policy and self-review.
All declared source assertions and state checks satisfy the named behavior.</t>
  </si>
  <si>
    <t>AT-268</t>
  </si>
  <si>
    <t>blocks approval for unenforceable audience or unsupported multi-step policy</t>
  </si>
  <si>
    <t>1. Load the source-defined test fixtures.
2. Run this check using the configured repository test runner.
3. Exercise: blocks approval for unenforceable audience or unsupported multi-step policy
4. Verify the test's assertions and side effects.</t>
  </si>
  <si>
    <t>blocks approval for unenforceable audience or unsupported multi-step policy.
Invalid or unauthorized behavior is blocked without a prohibited state change.</t>
  </si>
  <si>
    <t>AT-269</t>
  </si>
  <si>
    <t>allows rejection with a reason but never emits publication intent</t>
  </si>
  <si>
    <t>1. Load the source-defined test fixtures.
2. Run this check using the configured repository test runner.
3. Exercise: allows rejection with a reason but never emits publication intent
4. Verify the test's assertions and side effects.</t>
  </si>
  <si>
    <t>allows rejection with a reason but never emits publication intent.
The authorized operation behaves as asserted by the test.</t>
  </si>
  <si>
    <t>AT-270</t>
  </si>
  <si>
    <t>allows Organization Admin self-approval without a reviewer grant</t>
  </si>
  <si>
    <t>1. Load the source-defined test fixtures.
2. Run this check using the configured repository test runner.
3. Exercise: allows Organization Admin self-approval without a reviewer grant
4. Verify the test's assertions and side effects.</t>
  </si>
  <si>
    <t>allows Organization Admin self-approval without a reviewer grant.
The authorized operation behaves as asserted by the test.</t>
  </si>
  <si>
    <t>review-queue (8)</t>
  </si>
  <si>
    <t>AT-271</t>
  </si>
  <si>
    <t>returns only currently authorized pending submissions</t>
  </si>
  <si>
    <t>1. Load the source-defined test fixtures.
2. Run this check using the configured repository test runner.
3. Exercise: returns only currently authorized pending submissions
4. Verify the test's assertions and side effects.</t>
  </si>
  <si>
    <t>returns only currently authorized pending submissions.
The response or exposed contract matches the expected fixture and assertions.</t>
  </si>
  <si>
    <t>AT-272</t>
  </si>
  <si>
    <t>keeps an invalid-audience submission visible so the reviewer can reject it</t>
  </si>
  <si>
    <t>1. Load the source-defined test fixtures.
2. Run this check using the configured repository test runner.
3. Exercise: keeps an invalid-audience submission visible so the reviewer can reject it
4. Verify the test's assertions and side effects.</t>
  </si>
  <si>
    <t>keeps an invalid-audience submission visible so the reviewer can reject it.
The named invariant holds under the exercised input.</t>
  </si>
  <si>
    <t>AT-273</t>
  </si>
  <si>
    <t>shows Organization Admin their own pending submission without a reviewer grant</t>
  </si>
  <si>
    <t>1. Load the source-defined test fixtures.
2. Run this check using the configured repository test runner.
3. Exercise: shows Organization Admin their own pending submission without a reviewer grant
4. Verify the test's assertions and side effects.</t>
  </si>
  <si>
    <t>shows Organization Admin their own pending submission without a reviewer grant.
Expected UI text, state and presentation appear in the test assertions.</t>
  </si>
  <si>
    <t>AT-274</t>
  </si>
  <si>
    <t>accepts one matching live grant, including classification and attribute filters</t>
  </si>
  <si>
    <t>1. Load the source-defined test fixtures.
2. Run this check using the configured repository test runner.
3. Exercise: accepts one matching live grant, including classification and attribute filters
4. Verify the test's assertions and side effects.</t>
  </si>
  <si>
    <t>accepts one matching live grant, including classification and attribute filters.
The authorized operation behaves as asserted by the test.</t>
  </si>
  <si>
    <t>AT-275</t>
  </si>
  <si>
    <t>requires a specialist or senior grant for restricted material</t>
  </si>
  <si>
    <t>1. Load the source-defined test fixtures.
2. Run this check using the configured repository test runner.
3. Exercise: requires a specialist or senior grant for restricted material
4. Verify the test's assertions and side effects.</t>
  </si>
  <si>
    <t>requires a specialist or senior grant for restricted material.
All declared source assertions and state checks satisfy the named behavior.</t>
  </si>
  <si>
    <t>AT-276</t>
  </si>
  <si>
    <t>shows an organization-wide submission only to an organization reviewer</t>
  </si>
  <si>
    <t>1. Load the source-defined test fixtures.
2. Run this check using the configured repository test runner.
3. Exercise: shows an organization-wide submission only to an organization reviewer
4. Verify the test's assertions and side effects.</t>
  </si>
  <si>
    <t>shows an organization-wide submission only to an organization reviewer.
Expected UI text, state and presentation appear in the test assertions.</t>
  </si>
  <si>
    <t>AT-277</t>
  </si>
  <si>
    <t>fails closed for inactive actors and invalid queue data</t>
  </si>
  <si>
    <t>1. Load the source-defined test fixtures.
2. Run this check using the configured repository test runner.
3. Exercise: fails closed for inactive actors and invalid queue data
4. Verify the test's assertions and side effects.</t>
  </si>
  <si>
    <t>fails closed for inactive actors and invalid queue data.
The error or edge case follows the asserted safe handling path.</t>
  </si>
  <si>
    <t>AT-278</t>
  </si>
  <si>
    <t>deduplicates join results after authorization and sorts newest first</t>
  </si>
  <si>
    <t>1. Load the source-defined test fixtures.
2. Run this check using the configured repository test runner.
3. Exercise: deduplicates join results after authorization and sorts newest first
4. Verify the test's assertions and side effects.</t>
  </si>
  <si>
    <t>deduplicates join results after authorization and sorts newest first.
All declared source assertions and state checks satisfy the named behavior.</t>
  </si>
  <si>
    <t>migration-command (6)</t>
  </si>
  <si>
    <t>AT-279</t>
  </si>
  <si>
    <t>implements explicit guarded command modes</t>
  </si>
  <si>
    <t>1. Load the source-defined test fixtures.
2. Run this check using the configured repository test runner.
3. Exercise: implements explicit guarded command modes
4. Verify the test's assertions and side effects.</t>
  </si>
  <si>
    <t>implements explicit guarded command modes.
All declared source assertions and state checks satisfy the named behavior.</t>
  </si>
  <si>
    <t>AT-280</t>
  </si>
  <si>
    <t>reports database error codes without leaking their message or connection details</t>
  </si>
  <si>
    <t>1. Load the source-defined test fixtures.
2. Run this check using the configured repository test runner.
3. Exercise: reports database error codes without leaking their message or connection details
4. Verify the test's assertions and side effects.</t>
  </si>
  <si>
    <t>reports database error codes without leaking their message or connection details.
The response or exposed contract matches the expected fixture and assertions.</t>
  </si>
  <si>
    <t>AT-281</t>
  </si>
  <si>
    <t>keeps useful runner diagnostics while removing complete database URLs</t>
  </si>
  <si>
    <t>1. Load the source-defined test fixtures.
2. Run this check using the configured repository test runner.
3. Exercise: keeps useful runner diagnostics while removing complete database URLs
4. Verify the test's assertions and side effects.</t>
  </si>
  <si>
    <t>keeps useful runner diagnostics while removing complete database URLs.
The named invariant holds under the exercised input.</t>
  </si>
  <si>
    <t>AT-282</t>
  </si>
  <si>
    <t>redacts standalone password and token assignments in runner messages</t>
  </si>
  <si>
    <t>1. Load the source-defined test fixtures.
2. Run this check using the configured repository test runner.
3. Exercise: redacts standalone password and token assignments in runner messages
4. Verify the test's assertions and side effects.</t>
  </si>
  <si>
    <t>redacts standalone password and token assignments in runner messages.
All declared source assertions and state checks satisfy the named behavior.</t>
  </si>
  <si>
    <t>AT-283</t>
  </si>
  <si>
    <t>accepts only a local development database for the full migration chain</t>
  </si>
  <si>
    <t>1. Load the source-defined test fixtures.
2. Run this check using the configured repository test runner.
3. Exercise: accepts only a local development database for the full migration chain
4. Verify the test's assertions and side effects.</t>
  </si>
  <si>
    <t>accepts only a local development database for the full migration chain.
The authorized operation behaves as asserted by the test.</t>
  </si>
  <si>
    <t>AT-284</t>
  </si>
  <si>
    <t>requires exact explicit modes without accepting extra arguments</t>
  </si>
  <si>
    <t>1. Load the source-defined test fixtures.
2. Run this check using the configured repository test runner.
3. Exercise: requires exact explicit modes without accepting extra arguments
4. Verify the test's assertions and side effects.</t>
  </si>
  <si>
    <t>requires exact explicit modes without accepting extra arguments.
All declared source assertions and state checks satisfy the named behavior.</t>
  </si>
  <si>
    <t>migration-plan (10)</t>
  </si>
  <si>
    <t>AT-285</t>
  </si>
  <si>
    <t>implements the checksum-aware migration planner</t>
  </si>
  <si>
    <t>1. Load the source-defined test fixtures.
2. Run this check using the configured repository test runner.
3. Exercise: implements the checksum-aware migration planner
4. Verify the test's assertions and side effects.</t>
  </si>
  <si>
    <t>implements the checksum-aware migration planner.
All declared source assertions and state checks satisfy the named behavior.</t>
  </si>
  <si>
    <t>AT-286</t>
  </si>
  <si>
    <t>selects only the ordered pending migrations after a proven applied prefix</t>
  </si>
  <si>
    <t>1. Load the source-defined test fixtures.
2. Run this check using the configured repository test runner.
3. Exercise: selects only the ordered pending migrations after a proven applied prefix
4. Verify the test's assertions and side effects.</t>
  </si>
  <si>
    <t>selects only the ordered pending migrations after a proven applied prefix.
All declared source assertions and state checks satisfy the named behavior.</t>
  </si>
  <si>
    <t>AT-287</t>
  </si>
  <si>
    <t>accepts gaps in migration numbers without inventing a missing migration</t>
  </si>
  <si>
    <t>1. Load the source-defined test fixtures.
2. Run this check using the configured repository test runner.
3. Exercise: accepts gaps in migration numbers without inventing a missing migration
4. Verify the test's assertions and side effects.</t>
  </si>
  <si>
    <t>accepts gaps in migration numbers without inventing a missing migration.
The authorized operation behaves as asserted by the test.</t>
  </si>
  <si>
    <t>AT-288</t>
  </si>
  <si>
    <t>returns no pending work when all checksums match</t>
  </si>
  <si>
    <t>1. Load the source-defined test fixtures.
2. Run this check using the configured repository test runner.
3. Exercise: returns no pending work when all checksums match
4. Verify the test's assertions and side effects.</t>
  </si>
  <si>
    <t>returns no pending work when all checksums match.
The response or exposed contract matches the expected fixture and assertions.</t>
  </si>
  <si>
    <t>AT-289</t>
  </si>
  <si>
    <t>blocks an operator-class pending migration</t>
  </si>
  <si>
    <t>1. Load the source-defined test fixtures.
2. Run this check using the configured repository test runner.
3. Exercise: blocks an operator-class pending migration
4. Verify the test's assertions and side effects.</t>
  </si>
  <si>
    <t>blocks an operator-class pending migration.
Invalid or unauthorized behavior is blocked without a prohibited state change.</t>
  </si>
  <si>
    <t>AT-290</t>
  </si>
  <si>
    <t>requires an operator checksum baseline for a missing or null checksum</t>
  </si>
  <si>
    <t>1. Load the source-defined test fixtures.
2. Run this check using the configured repository test runner.
3. Exercise: requires an operator checksum baseline for a missing or null checksum
4. Verify the test's assertions and side effects.</t>
  </si>
  <si>
    <t>requires an operator checksum baseline for a missing or null checksum.
All declared source assertions and state checks satisfy the named behavior.</t>
  </si>
  <si>
    <t>AT-291</t>
  </si>
  <si>
    <t>stops on unknown applied IDs and checksum drift</t>
  </si>
  <si>
    <t>1. Load the source-defined test fixtures.
2. Run this check using the configured repository test runner.
3. Exercise: stops on unknown applied IDs and checksum drift
4. Verify the test's assertions and side effects.</t>
  </si>
  <si>
    <t>stops on unknown applied IDs and checksum drift.
All declared source assertions and state checks satisfy the named behavior.</t>
  </si>
  <si>
    <t>AT-292</t>
  </si>
  <si>
    <t>rejects malformed, duplicate, and non-prefix ledger rows</t>
  </si>
  <si>
    <t>1. Load the source-defined test fixtures.
2. Run this check using the configured repository test runner.
3. Exercise: rejects malformed, duplicate, and non-prefix ledger rows
4. Verify the test's assertions and side effects.</t>
  </si>
  <si>
    <t>rejects malformed, duplicate, and non-prefix ledger rows.
Invalid or unauthorized behavior is blocked without a prohibited state change.</t>
  </si>
  <si>
    <t>AT-293</t>
  </si>
  <si>
    <t>rejects a candidate inventory that is not uniquely and lexically ordered</t>
  </si>
  <si>
    <t>1. Load the source-defined test fixtures.
2. Run this check using the configured repository test runner.
3. Exercise: rejects a candidate inventory that is not uniquely and lexically ordered
4. Verify the test's assertions and side effects.</t>
  </si>
  <si>
    <t>rejects a candidate inventory that is not uniquely and lexically ordered.
Invalid or unauthorized behavior is blocked without a prohibited state change.</t>
  </si>
  <si>
    <t>AT-294</t>
  </si>
  <si>
    <t>continues only the unapplied safe suffix after a checksum-proven partial run</t>
  </si>
  <si>
    <t>1. Load the source-defined test fixtures.
2. Run this check using the configured repository test runner.
3. Exercise: continues only the unapplied safe suffix after a checksum-proven partial run
4. Verify the test's assertions and side effects.</t>
  </si>
  <si>
    <t>continues only the unapplied safe suffix after a checksum-proven partial run.
All declared source assertions and state checks satisfy the named behavior.</t>
  </si>
  <si>
    <t>repository (integration) (6)</t>
  </si>
  <si>
    <t>AT-295</t>
  </si>
  <si>
    <t>uses a non-superuser worker login without API private-content access</t>
  </si>
  <si>
    <t>1. Load the source-defined test fixtures.
2. Run this check using the configured repository test runner.
3. Exercise: uses a non-superuser worker login without API private-content access
4. Verify the test's assertions and side effects.</t>
  </si>
  <si>
    <t>uses a non-superuser worker login without API private-content access.
All declared source assertions and state checks satisfy the named behavior.</t>
  </si>
  <si>
    <t>Isolated arden_test_* PostgreSQL fixture, ARDEN_TEST_DATABASE_URL and setup superuser; RLS-tested worker/member roles.</t>
  </si>
  <si>
    <t>AT-296</t>
  </si>
  <si>
    <t>enforces owner-only drafts, member creation, conflicts, and audit records through RLS</t>
  </si>
  <si>
    <t>1. Load the source-defined test fixtures.
2. Run this check using the configured repository test runner.
3. Exercise: enforces owner-only drafts, member creation, conflicts, and audit records through RLS
4. Verify the test's assertions and side effects.</t>
  </si>
  <si>
    <t>enforces owner-only drafts, member creation, conflicts, and audit records through RLS.
All declared source assertions and state checks satisfy the named behavior.</t>
  </si>
  <si>
    <t>AT-297</t>
  </si>
  <si>
    <t>copies only an authorized private version and keeps shared rows invisible to another member</t>
  </si>
  <si>
    <t>1. Load the source-defined test fixtures.
2. Run this check using the configured repository test runner.
3. Exercise: copies only an authorized private version and keeps shared rows invisible to another member
4. Verify the test's assertions and side effects.</t>
  </si>
  <si>
    <t>copies only an authorized private version and keeps shared rows invisible to another member.
All declared source assertions and state checks satisfy the named behavior.</t>
  </si>
  <si>
    <t>AT-298</t>
  </si>
  <si>
    <t>shows invited members to their Org Admin and permits a reviewer grant without exposing profiles to other actors</t>
  </si>
  <si>
    <t>1. Load the source-defined test fixtures.
2. Run this check using the configured repository test runner.
3. Exercise: shows invited members to their Org Admin and permits a reviewer grant without exposing profiles to other actors
4. Verify the test's assertions and side effects.</t>
  </si>
  <si>
    <t>shows invited members to their Org Admin and permits a reviewer grant without exposing profiles to other actors.
Expected UI text, state and presentation appear in the test assertions.</t>
  </si>
  <si>
    <t>AT-299</t>
  </si>
  <si>
    <t>keeps organization and department reviewer scopes disjoint and exposes grant availability</t>
  </si>
  <si>
    <t>1. Load the source-defined test fixtures.
2. Run this check using the configured repository test runner.
3. Exercise: keeps organization and department reviewer scopes disjoint and exposes grant availability
4. Verify the test's assertions and side effects.</t>
  </si>
  <si>
    <t>keeps organization and department reviewer scopes disjoint and exposes grant availability.
The named invariant holds under the exercised input.</t>
  </si>
  <si>
    <t>AT-300</t>
  </si>
  <si>
    <t>durably enqueues and atomically activates a different member's approved snapshot</t>
  </si>
  <si>
    <t>1. Load the source-defined test fixtures.
2. Run this check using the configured repository test runner.
3. Exercise: durably enqueues and atomically activates a different member's approved snapshot
4. Verify the test's assertions and side effects.</t>
  </si>
  <si>
    <t>durably enqueues and atomically activates a different member's approved snapshot.
All declared source assertions and state checks satisfy the named behavior.</t>
  </si>
  <si>
    <t>AT-301</t>
  </si>
  <si>
    <t>builds MIME-explicit text and PDF requests without changing snapshot identity</t>
  </si>
  <si>
    <t>1. Load the source-defined test fixtures.
2. Run this check using the configured repository test runner.
3. Exercise: builds MIME-explicit text and PDF requests without changing snapshot identity
4. Verify the test's assertions and side effects.</t>
  </si>
  <si>
    <t>builds MIME-explicit text and PDF requests without changing snapshot identity.
All declared source assertions and state checks satisfy the named behavior.</t>
  </si>
  <si>
    <t>AT-302</t>
  </si>
  <si>
    <t>accepts the strict Arden-AI v1 manifest and verifies its chunk digest</t>
  </si>
  <si>
    <t>1. Load the source-defined test fixtures.
2. Run this check using the configured repository test runner.
3. Exercise: accepts the strict Arden-AI v1 manifest and verifies its chunk digest
4. Verify the test's assertions and side effects.</t>
  </si>
  <si>
    <t>accepts the strict Arden-AI v1 manifest and verifies its chunk digest.
The authorized operation behaves as asserted by the test.</t>
  </si>
  <si>
    <t>AT-303</t>
  </si>
  <si>
    <t>rejects identity drift, unknown fields and invalid chunk digests</t>
  </si>
  <si>
    <t>1. Load the source-defined test fixtures.
2. Run this check using the configured repository test runner.
3. Exercise: rejects identity drift, unknown fields and invalid chunk digests
4. Verify the test's assertions and side effects.</t>
  </si>
  <si>
    <t>rejects identity drift, unknown fields and invalid chunk digests.
Invalid or unauthorized behavior is blocked without a prohibited state change.</t>
  </si>
  <si>
    <t>worker (5)</t>
  </si>
  <si>
    <t>AT-304</t>
  </si>
  <si>
    <t>rejects leases shorter than the bounded AI request plus completion margin</t>
  </si>
  <si>
    <t>1. Load the source-defined test fixtures.
2. Run this check using the configured repository test runner.
3. Exercise: rejects leases shorter than the bounded AI request plus completion margin
4. Verify the test's assertions and side effects.</t>
  </si>
  <si>
    <t>rejects leases shorter than the bounded AI request plus completion margin.
Invalid or unauthorized behavior is blocked without a prohibited state change.</t>
  </si>
  <si>
    <t>AT-305</t>
  </si>
  <si>
    <t>does not retry a generation superseded by an already published snapshot</t>
  </si>
  <si>
    <t>1. Load the source-defined test fixtures.
2. Run this check using the configured repository test runner.
3. Exercise: does not retry a generation superseded by an already published snapshot
4. Verify the test's assertions and side effects.</t>
  </si>
  <si>
    <t>does not retry a generation superseded by an already published snapshot.
The named invariant holds under the exercised input.</t>
  </si>
  <si>
    <t>AT-306</t>
  </si>
  <si>
    <t>indexes one claimed snapshot and delegates atomic activation to core storage</t>
  </si>
  <si>
    <t>1. Load the source-defined test fixtures.
2. Run this check using the configured repository test runner.
3. Exercise: indexes one claimed snapshot and delegates atomic activation to core storage
4. Verify the test's assertions and side effects.</t>
  </si>
  <si>
    <t>indexes one claimed snapshot and delegates atomic activation to core storage.
All declared source assertions and state checks satisfy the named behavior.</t>
  </si>
  <si>
    <t>AT-307</t>
  </si>
  <si>
    <t>passes an integrity-checked PDF snapshot to Arden AI as base64</t>
  </si>
  <si>
    <t>1. Load the source-defined test fixtures.
2. Run this check using the configured repository test runner.
3. Exercise: passes an integrity-checked PDF snapshot to Arden AI as base64
4. Verify the test's assertions and side effects.</t>
  </si>
  <si>
    <t>passes an integrity-checked PDF snapshot to Arden AI as base64.
All declared source assertions and state checks satisfy the named behavior.</t>
  </si>
  <si>
    <t>AT-308</t>
  </si>
  <si>
    <t>returns idle without side effects when no job is ready</t>
  </si>
  <si>
    <t>1. Load the source-defined test fixtures.
2. Run this check using the configured repository test runner.
3. Exercise: returns idle without side effects when no job is ready
4. Verify the test's assertions and side effects.</t>
  </si>
  <si>
    <t>returns idle without side effects when no job is ready.
The response or exposed contract matches the expected fixture and assertions.</t>
  </si>
  <si>
    <t>content-storage (3)</t>
  </si>
  <si>
    <t>AT-309</t>
  </si>
  <si>
    <t>writes opaque content references and verifies their content hash</t>
  </si>
  <si>
    <t>1. Load the source-defined test fixtures.
2. Run this check using the configured repository test runner.
3. Exercise: writes opaque content references and verifies their content hash
4. Verify the test's assertions and side effects.</t>
  </si>
  <si>
    <t>writes opaque content references and verifies their content hash.
All declared source assertions and state checks satisfy the named behavior.</t>
  </si>
  <si>
    <t>AT-310</t>
  </si>
  <si>
    <t>rejects client-controlled paths and removes objects by opaque URI</t>
  </si>
  <si>
    <t>1. Load the source-defined test fixtures.
2. Run this check using the configured repository test runner.
3. Exercise: rejects client-controlled paths and removes objects by opaque URI
4. Verify the test's assertions and side effects.</t>
  </si>
  <si>
    <t>rejects client-controlled paths and removes objects by opaque URI.
Invalid or unauthorized behavior is blocked without a prohibited state change.</t>
  </si>
  <si>
    <t>AT-311</t>
  </si>
  <si>
    <t>stores PDF bytes without UTF-8 conversion and verifies their hash</t>
  </si>
  <si>
    <t>1. Load the source-defined test fixtures.
2. Run this check using the configured repository test runner.
3. Exercise: stores PDF bytes without UTF-8 conversion and verifies their hash
4. Verify the test's assertions and side effects.</t>
  </si>
  <si>
    <t>stores PDF bytes without UTF-8 conversion and verifies their hash.
All declared source assertions and state checks satisfy the named behavior.</t>
  </si>
  <si>
    <t>apiRequestPolicy (7)</t>
  </si>
  <si>
    <t>AT-312</t>
  </si>
  <si>
    <t>bounds audience-group routes and requires group-specific update preconditions</t>
  </si>
  <si>
    <t>1. Load the source-defined test fixtures.
2. Run this check using the configured repository test runner.
3. Exercise: bounds audience-group routes and requires group-specific update preconditions
4. Verify the test's assertions and side effects.</t>
  </si>
  <si>
    <t>bounds audience-group routes and requires group-specific update preconditions.
All declared source assertions and state checks satisfy the named behavior.</t>
  </si>
  <si>
    <t>Desktop main-process policy test harness and synthetic API request inputs.</t>
  </si>
  <si>
    <t>AT-313</t>
  </si>
  <si>
    <t>permits a bounded shared-draft create with its idempotency key</t>
  </si>
  <si>
    <t>1. Load the source-defined test fixtures.
2. Run this check using the configured repository test runner.
3. Exercise: permits a bounded shared-draft create with its idempotency key
4. Verify the test's assertions and side effects.</t>
  </si>
  <si>
    <t>permits a bounded shared-draft create with its idempotency key.
The authorized operation behaves as asserted by the test.</t>
  </si>
  <si>
    <t>AT-314</t>
  </si>
  <si>
    <t>allows only a bounded PDF upload route to carry a larger request</t>
  </si>
  <si>
    <t>1. Load the source-defined test fixtures.
2. Run this check using the configured repository test runner.
3. Exercise: allows only a bounded PDF upload route to carry a larger request
4. Verify the test's assertions and side effects.</t>
  </si>
  <si>
    <t>allows only a bounded PDF upload route to carry a larger request.
The authorized operation behaves as asserted by the test.</t>
  </si>
  <si>
    <t>AT-315</t>
  </si>
  <si>
    <t>rejects missing, malformed, or misrouted idempotency keys</t>
  </si>
  <si>
    <t>1. Load the source-defined test fixtures.
2. Run this check using the configured repository test runner.
3. Exercise: rejects missing, malformed, or misrouted idempotency keys
4. Verify the test's assertions and side effects.</t>
  </si>
  <si>
    <t>rejects missing, malformed, or misrouted idempotency keys.
Invalid or unauthorized behavior is blocked without a prohibited state change.</t>
  </si>
  <si>
    <t>AT-316</t>
  </si>
  <si>
    <t>retains existing private-draft and session requests without broadening routes</t>
  </si>
  <si>
    <t>1. Load the source-defined test fixtures.
2. Run this check using the configured repository test runner.
3. Exercise: retains existing private-draft and session requests without broadening routes
4. Verify the test's assertions and side effects.</t>
  </si>
  <si>
    <t>retains existing private-draft and session requests without broadening routes.
All declared source assertions and state checks satisfy the named behavior.</t>
  </si>
  <si>
    <t>AT-317</t>
  </si>
  <si>
    <t>permits the bounded author, reviewer, publication and admin routes</t>
  </si>
  <si>
    <t>1. Load the source-defined test fixtures.
2. Run this check using the configured repository test runner.
3. Exercise: permits the bounded author, reviewer, publication and admin routes
4. Verify the test's assertions and side effects.</t>
  </si>
  <si>
    <t>permits the bounded author, reviewer, publication and admin routes.
The authorized operation behaves as asserted by the test.</t>
  </si>
  <si>
    <t>AT-318</t>
  </si>
  <si>
    <t>rejects method, precondition and route confusion across knowledge endpoints</t>
  </si>
  <si>
    <t>1. Load the source-defined test fixtures.
2. Run this check using the configured repository test runner.
3. Exercise: rejects method, precondition and route confusion across knowledge endpoints
4. Verify the test's assertions and side effects.</t>
  </si>
  <si>
    <t>rejects method, precondition and route confusion across knowledge endpoints.
Invalid or unauthorized behavior is blocked without a prohibited state change.</t>
  </si>
  <si>
    <t>semantic-document (5)</t>
  </si>
  <si>
    <t>AT-319</t>
  </si>
  <si>
    <t>round-trips stable ids, formatting, and link semantics</t>
  </si>
  <si>
    <t>1. Load the source-defined test fixtures.
2. Run this check using the configured repository test runner.
3. Exercise: round-trips stable ids, formatting, and link semantics
4. Verify the test's assertions and side effects.</t>
  </si>
  <si>
    <t>round-trips stable ids, formatting, and link semantics.
All declared source assertions and state checks satisfy the named behavior.</t>
  </si>
  <si>
    <t>Shared semantic-document model fixtures from the domain test module.</t>
  </si>
  <si>
    <t>AT-320</t>
  </si>
  <si>
    <t>rejects missing and duplicate stable ids</t>
  </si>
  <si>
    <t>1. Load the source-defined test fixtures.
2. Run this check using the configured repository test runner.
3. Exercise: rejects missing and duplicate stable ids
4. Verify the test's assertions and side effects.</t>
  </si>
  <si>
    <t>rejects missing and duplicate stable ids.
Invalid or unauthorized behavior is blocked without a prohibited state change.</t>
  </si>
  <si>
    <t>AT-321</t>
  </si>
  <si>
    <t>normalizes new plain-text input without accepting it as stored canonical content</t>
  </si>
  <si>
    <t>1. Load the source-defined test fixtures.
2. Run this check using the configured repository test runner.
3. Exercise: normalizes new plain-text input without accepting it as stored canonical content
4. Verify the test's assertions and side effects.</t>
  </si>
  <si>
    <t>normalizes new plain-text input without accepting it as stored canonical content.
All declared source assertions and state checks satisfy the named behavior.</t>
  </si>
  <si>
    <t>AT-322</t>
  </si>
  <si>
    <t>rejects unsafe links</t>
  </si>
  <si>
    <t>1. Load the source-defined test fixtures.
2. Run this check using the configured repository test runner.
3. Exercise: rejects unsafe links
4. Verify the test's assertions and side effects.</t>
  </si>
  <si>
    <t>rejects unsafe links.
Invalid or unauthorized behavior is blocked without a prohibited state change.</t>
  </si>
  <si>
    <t>AT-323</t>
  </si>
  <si>
    <t>rejects unknown canonical fields instead of silently changing meaning</t>
  </si>
  <si>
    <t>1. Load the source-defined test fixtures.
2. Run this check using the configured repository test runner.
3. Exercise: rejects unknown canonical fields instead of silently changing meaning
4. Verify the test's assertions and side effects.</t>
  </si>
  <si>
    <t>rejects unknown canonical fields instead of silently changing meaning.
Invalid or unauthorized behavior is blocked without a prohibited state change.</t>
  </si>
  <si>
    <t>workflow (16)</t>
  </si>
  <si>
    <t>AT-324</t>
  </si>
  <si>
    <t>writer uploads before startup and releases the same lease on Ctrl+C</t>
  </si>
  <si>
    <t>1. Load the source-defined test fixtures.
2. Run this check using the Node test command.
3. Exercise: writer uploads before startup and releases the same lease on Ctrl+C
4. Verify the test's assertions and side effects.</t>
  </si>
  <si>
    <t>writer uploads before startup and releases the same lease on Ctrl+C.
All declared source assertions and state checks satisfy the named behavior.</t>
  </si>
  <si>
    <t>Remote workflow Node harness, simulated session runtime, backend and lease fixtures.</t>
  </si>
  <si>
    <t>AT-325</t>
  </si>
  <si>
    <t>a rejected competing writer neither uploads nor releases another lease</t>
  </si>
  <si>
    <t>1. Load the source-defined test fixtures.
2. Run this check using the Node test command.
3. Exercise: a rejected competing writer neither uploads nor releases another lease
4. Verify the test's assertions and side effects.</t>
  </si>
  <si>
    <t>a rejected competing writer neither uploads nor releases another lease.
All declared source assertions and state checks satisfy the named behavior.</t>
  </si>
  <si>
    <t>AT-326</t>
  </si>
  <si>
    <t>readiness failure releases an acquired lease without leaving a frontend</t>
  </si>
  <si>
    <t>1. Load the source-defined test fixtures.
2. Run this check using the Node test command.
3. Exercise: readiness failure releases an acquired lease without leaving a frontend
4. Verify the test's assertions and side effects.</t>
  </si>
  <si>
    <t>readiness failure releases an acquired lease without leaving a frontend.
All declared source assertions and state checks satisfy the named behavior.</t>
  </si>
  <si>
    <t>AT-327</t>
  </si>
  <si>
    <t>startup failure releases an acquired lease without leaving a frontend</t>
  </si>
  <si>
    <t>1. Load the source-defined test fixtures.
2. Run this check using the Node test command.
3. Exercise: startup failure releases an acquired lease without leaving a frontend
4. Verify the test's assertions and side effects.</t>
  </si>
  <si>
    <t>startup failure releases an acquired lease without leaving a frontend.
All declared source assertions and state checks satisfy the named behavior.</t>
  </si>
  <si>
    <t>AT-328</t>
  </si>
  <si>
    <t>upload failure releases an acquired lease without leaving a frontend</t>
  </si>
  <si>
    <t>1. Load the source-defined test fixtures.
2. Run this check using the Node test command.
3. Exercise: upload failure releases an acquired lease without leaving a frontend
4. Verify the test's assertions and side effects.</t>
  </si>
  <si>
    <t>upload failure releases an acquired lease without leaving a frontend.
All declared source assertions and state checks satisfy the named behavior.</t>
  </si>
  <si>
    <t>AT-329</t>
  </si>
  <si>
    <t>tunnel disconnect stops the frontend once and releases the writer</t>
  </si>
  <si>
    <t>1. Load the source-defined test fixtures.
2. Run this check using the Node test command.
3. Exercise: tunnel disconnect stops the frontend once and releases the writer
4. Verify the test's assertions and side effects.</t>
  </si>
  <si>
    <t>tunnel disconnect stops the frontend once and releases the writer.
All declared source assertions and state checks satisfy the named behavior.</t>
  </si>
  <si>
    <t>AT-330</t>
  </si>
  <si>
    <t>disconnect during readiness never launches a frontend</t>
  </si>
  <si>
    <t>1. Load the source-defined test fixtures.
2. Run this check using the Node test command.
3. Exercise: disconnect during readiness never launches a frontend
4. Verify the test's assertions and side effects.</t>
  </si>
  <si>
    <t>disconnect during readiness never launches a frontend.
All declared source assertions and state checks satisfy the named behavior.</t>
  </si>
  <si>
    <t>AT-331</t>
  </si>
  <si>
    <t>preview never reserves, uploads, starts, or releases the backend</t>
  </si>
  <si>
    <t>1. Load the source-defined test fixtures.
2. Run this check using the Node test command.
3. Exercise: preview never reserves, uploads, starts, or releases the backend
4. Verify the test's assertions and side effects.</t>
  </si>
  <si>
    <t>preview never reserves, uploads, starts, or releases the backend.
All declared source assertions and state checks satisfy the named behavior.</t>
  </si>
  <si>
    <t>AT-332</t>
  </si>
  <si>
    <t>failed lease release reports automatic expiry and still removes signal handlers</t>
  </si>
  <si>
    <t>1. Load the source-defined test fixtures.
2. Run this check using the Node test command.
3. Exercise: failed lease release reports automatic expiry and still removes signal handlers
4. Verify the test's assertions and side effects.</t>
  </si>
  <si>
    <t>failed lease release reports automatic expiry and still removes signal handlers.
All declared source assertions and state checks satisfy the named behavior.</t>
  </si>
  <si>
    <t>AT-333</t>
  </si>
  <si>
    <t>saved deletion produces a complete replacement manifest</t>
  </si>
  <si>
    <t>1. Load the source-defined test fixtures.
2. Run this check using the Node test command.
3. Exercise: saved deletion produces a complete replacement manifest
4. Verify the test's assertions and side effects.</t>
  </si>
  <si>
    <t>saved deletion produces a complete replacement manifest.
All declared source assertions and state checks satisfy the named behavior.</t>
  </si>
  <si>
    <t>AT-334</t>
  </si>
  <si>
    <t>watch loop sends deletion-only updates, not just changed file contents</t>
  </si>
  <si>
    <t>1. Load the source-defined test fixtures.
2. Run this check using the Node test command.
3. Exercise: watch loop sends deletion-only updates, not just changed file contents
4. Verify the test's assertions and side effects.</t>
  </si>
  <si>
    <t>watch loop sends deletion-only updates, not just changed file contents.
All declared source assertions and state checks satisfy the named behavior.</t>
  </si>
  <si>
    <t>AT-335</t>
  </si>
  <si>
    <t>disconnect drains the actual owned local frontend process</t>
  </si>
  <si>
    <t>1. Load the source-defined test fixtures.
2. Run this check using the Node test command.
3. Exercise: disconnect drains the actual owned local frontend process
4. Verify the test's assertions and side effects.</t>
  </si>
  <si>
    <t>disconnect drains the actual owned local frontend process.
All declared source assertions and state checks satisfy the named behavior.</t>
  </si>
  <si>
    <t>AT-336</t>
  </si>
  <si>
    <t>source allowlist excludes frontend, private files, traversal, and generated data</t>
  </si>
  <si>
    <t>1. Load the source-defined test fixtures.
2. Run this check using the Node test command.
3. Exercise: source allowlist excludes frontend, private files, traversal, and generated data
4. Verify the test's assertions and side effects.</t>
  </si>
  <si>
    <t>source allowlist excludes frontend, private files, traversal, and generated data.
All declared source assertions and state checks satisfy the named behavior.</t>
  </si>
  <si>
    <t>AT-337</t>
  </si>
  <si>
    <t>snapshot respects Git ignores and requires a complete backend</t>
  </si>
  <si>
    <t>1. Load the source-defined test fixtures.
2. Run this check using the Node test command.
3. Exercise: snapshot respects Git ignores and requires a complete backend
4. Verify the test's assertions and side effects.</t>
  </si>
  <si>
    <t>snapshot respects Git ignores and requires a complete backend.
All declared source assertions and state checks satisfy the named behavior.</t>
  </si>
  <si>
    <t>AT-338</t>
  </si>
  <si>
    <t>fingerprint tolerates deleted optional manifests but rejects required deletions</t>
  </si>
  <si>
    <t>1. Load the source-defined test fixtures.
2. Run this check using the Node test command.
3. Exercise: fingerprint tolerates deleted optional manifests but rejects required deletions
4. Verify the test's assertions and side effects.</t>
  </si>
  <si>
    <t>fingerprint tolerates deleted optional manifests but rejects required deletions.
All declared source assertions and state checks satisfy the named behavior.</t>
  </si>
  <si>
    <t>AT-339</t>
  </si>
  <si>
    <t>frontendCommand resolves standalone .exe directly and wraps js in node</t>
  </si>
  <si>
    <t>1. Load the source-defined test fixtures.
2. Run this check using the Node test command.
3. Exercise: frontendCommand resolves standalone .exe directly and wraps js in node
4. Verify the test's assertions and side effects.</t>
  </si>
  <si>
    <t>frontendCommand resolves standalone .exe directly and wraps js in node.
All declared source assertions and state checks satisfy the named behavior.</t>
  </si>
  <si>
    <t>conventions (10)</t>
  </si>
  <si>
    <t>AT-340</t>
  </si>
  <si>
    <t>accept documented work types without a tool or agent namespace</t>
  </si>
  <si>
    <t>1. Load the source-defined test fixtures.
2. Run this check using the Node test command.
3. Exercise: accept documented work types without a tool or agent namespace
4. Verify the test's assertions and side effects.</t>
  </si>
  <si>
    <t>accept documented work types without a tool or agent namespace.
All declared source assertions and state checks satisfy the named behavior.</t>
  </si>
  <si>
    <t>Release/PR Node harness with isolated command, transport and migration fixtures.</t>
  </si>
  <si>
    <t>AT-341</t>
  </si>
  <si>
    <t>accept only the two exact deployment branches for release promotion PRs</t>
  </si>
  <si>
    <t>1. Load the source-defined test fixtures.
2. Run this check using the Node test command.
3. Exercise: accept only the two exact deployment branches for release promotion PRs
4. Verify the test's assertions and side effects.</t>
  </si>
  <si>
    <t>accept only the two exact deployment branches for release promotion PRs.
All declared source assertions and state checks satisfy the named behavior.</t>
  </si>
  <si>
    <t>AT-342</t>
  </si>
  <si>
    <t>accept semantic release versions including prerelease/build suffixes</t>
  </si>
  <si>
    <t>1. Load the source-defined test fixtures.
2. Run this check using the Node test command.
3. Exercise: accept semantic release versions including prerelease/build suffixes
4. Verify the test's assertions and side effects.</t>
  </si>
  <si>
    <t>accept semantic release versions including prerelease/build suffixes.
All declared source assertions and state checks satisfy the named behavior.</t>
  </si>
  <si>
    <t>AT-343</t>
  </si>
  <si>
    <t>reject malformed names, control characters and unknown work types</t>
  </si>
  <si>
    <t>1. Load the source-defined test fixtures.
2. Run this check using the Node test command.
3. Exercise: reject malformed names, control characters and unknown work types
4. Verify the test's assertions and side effects.</t>
  </si>
  <si>
    <t>reject malformed names, control characters and unknown work types.
All declared source assertions and state checks satisfy the named behavior.</t>
  </si>
  <si>
    <t>AT-344</t>
  </si>
  <si>
    <t>enforce exact branch and title length boundaries</t>
  </si>
  <si>
    <t>1. Load the source-defined test fixtures.
2. Run this check using the Node test command.
3. Exercise: enforce exact branch and title length boundaries
4. Verify the test's assertions and side effects.</t>
  </si>
  <si>
    <t>enforce exact branch and title length boundaries.
All declared source assertions and state checks satisfy the named behavior.</t>
  </si>
  <si>
    <t>AT-345</t>
  </si>
  <si>
    <t>accept breaking changes and Unicode summaries without multiline output</t>
  </si>
  <si>
    <t>1. Load the source-defined test fixtures.
2. Run this check using the Node test command.
3. Exercise: accept breaking changes and Unicode summaries without multiline output
4. Verify the test's assertions and side effects.</t>
  </si>
  <si>
    <t>accept breaking changes and Unicode summaries without multiline output.
All declared source assertions and state checks satisfy the named behavior.</t>
  </si>
  <si>
    <t>AT-346</t>
  </si>
  <si>
    <t>only exempt the real Dependabot account on a Dependabot branch</t>
  </si>
  <si>
    <t>1. Load the source-defined test fixtures.
2. Run this check using the Node test command.
3. Exercise: only exempt the real Dependabot account on a Dependabot branch
4. Verify the test's assertions and side effects.</t>
  </si>
  <si>
    <t>only exempt the real Dependabot account on a Dependabot branch.
All declared source assertions and state checks satisfy the named behavior.</t>
  </si>
  <si>
    <t>AT-347</t>
  </si>
  <si>
    <t>invalid runtime input returns errors instead of throwing</t>
  </si>
  <si>
    <t>1. Load the source-defined test fixtures.
2. Run this check using the Node test command.
3. Exercise: invalid runtime input returns errors instead of throwing
4. Verify the test's assertions and side effects.</t>
  </si>
  <si>
    <t>invalid runtime input returns errors instead of throwing.
All declared source assertions and state checks satisfy the named behavior.</t>
  </si>
  <si>
    <t>AT-348</t>
  </si>
  <si>
    <t>CLI reports static messages and appropriate exit codes</t>
  </si>
  <si>
    <t>1. Load the source-defined test fixtures.
2. Run this check using the Node test command.
3. Exercise: CLI reports static messages and appropriate exit codes
4. Verify the test's assertions and side effects.</t>
  </si>
  <si>
    <t>CLI reports static messages and appropriate exit codes.
All declared source assertions and state checks satisfy the named behavior.</t>
  </si>
  <si>
    <t>AT-349</t>
  </si>
  <si>
    <t>reject explicitly prohibited generic descriptions and bare dates</t>
  </si>
  <si>
    <t>1. Load the source-defined test fixtures.
2. Run this check using the Node test command.
3. Exercise: reject explicitly prohibited generic descriptions and bare dates
4. Verify the test's assertions and side effects.</t>
  </si>
  <si>
    <t>reject explicitly prohibited generic descriptions and bare dates.
All declared source assertions and state checks satisfy the named behavior.</t>
  </si>
  <si>
    <t>identity (4)</t>
  </si>
  <si>
    <t>AT-350</t>
  </si>
  <si>
    <t>job identity module is present</t>
  </si>
  <si>
    <t>1. Load the source-defined test fixtures.
2. Run this check using the Node test command.
3. Exercise: job identity module is present
4. Verify the test's assertions and side effects.</t>
  </si>
  <si>
    <t>job identity module is present.
All declared source assertions and state checks satisfy the named behavior.</t>
  </si>
  <si>
    <t>AT-351</t>
  </si>
  <si>
    <t>identity audience binds all request fields with stable canonical ordering</t>
  </si>
  <si>
    <t>1. Load the source-defined test fixtures.
2. Run this check using the Node test command.
3. Exercise: identity audience binds all request fields with stable canonical ordering
4. Verify the test's assertions and side effects.</t>
  </si>
  <si>
    <t>identity audience binds all request fields with stable canonical ordering.
All declared source assertions and state checks satisfy the named behavior.</t>
  </si>
  <si>
    <t>AT-352</t>
  </si>
  <si>
    <t>identity retrieval uses the trusted runner endpoint and bound audience without redirects</t>
  </si>
  <si>
    <t>1. Load the source-defined test fixtures.
2. Run this check using the Node test command.
3. Exercise: identity retrieval uses the trusted runner endpoint and bound audience without redirects
4. Verify the test's assertions and side effects.</t>
  </si>
  <si>
    <t>identity retrieval uses the trusted runner endpoint and bound audience without redirects.
All declared source assertions and state checks satisfy the named behavior.</t>
  </si>
  <si>
    <t>AT-353</t>
  </si>
  <si>
    <t>missing credentials, untrusted endpoints and oversized responses fail without returning proof</t>
  </si>
  <si>
    <t>1. Load the source-defined test fixtures.
2. Run this check using the Node test command.
3. Exercise: missing credentials, untrusted endpoints and oversized responses fail without returning proof
4. Verify the test's assertions and side effects.</t>
  </si>
  <si>
    <t>missing credentials, untrusted endpoints and oversized responses fail without returning proof.
All declared source assertions and state checks satisfy the named behavior.</t>
  </si>
  <si>
    <t>migration-inventory (14)</t>
  </si>
  <si>
    <t>AT-354</t>
  </si>
  <si>
    <t>migration inventory implementation is present</t>
  </si>
  <si>
    <t>1. Load the source-defined test fixtures.
2. Run this check using the Node test command.
3. Exercise: migration inventory implementation is present
4. Verify the test's assertions and side effects.</t>
  </si>
  <si>
    <t>migration inventory implementation is present.
All declared source assertions and state checks satisfy the named behavior.</t>
  </si>
  <si>
    <t>AT-355</t>
  </si>
  <si>
    <t>loader returns exact ordered entries and hashes the exact SQL bytes</t>
  </si>
  <si>
    <t>1. Load the source-defined test fixtures.
2. Run this check using the Node test command.
3. Exercise: loader returns exact ordered entries and hashes the exact SQL bytes
4. Verify the test's assertions and side effects.</t>
  </si>
  <si>
    <t>loader returns exact ordered entries and hashes the exact SQL bytes.
All declared source assertions and state checks satisfy the named behavior.</t>
  </si>
  <si>
    <t>AT-356</t>
  </si>
  <si>
    <t>loader permits an explicitly reviewed compatible expand migration</t>
  </si>
  <si>
    <t>1. Load the source-defined test fixtures.
2. Run this check using the Node test command.
3. Exercise: loader permits an explicitly reviewed compatible expand migration
4. Verify the test's assertions and side effects.</t>
  </si>
  <si>
    <t>loader permits an explicitly reviewed compatible expand migration.
All declared source assertions and state checks satisfy the named behavior.</t>
  </si>
  <si>
    <t>AT-357</t>
  </si>
  <si>
    <t>policy refresh records exact SQL bytes and detects an unreviewed line-ending change</t>
  </si>
  <si>
    <t>1. Load the source-defined test fixtures.
2. Run this check using the Node test command.
3. Exercise: policy refresh records exact SQL bytes and detects an unreviewed line-ending change
4. Verify the test's assertions and side effects.</t>
  </si>
  <si>
    <t>policy refresh records exact SQL bytes and detects an unreviewed line-ending change.
All declared source assertions and state checks satisfy the named behavior.</t>
  </si>
  <si>
    <t>AT-358</t>
  </si>
  <si>
    <t>inventory fingerprint is canonical, order independent, and includes rollout class</t>
  </si>
  <si>
    <t>1. Load the source-defined test fixtures.
2. Run this check using the Node test command.
3. Exercise: inventory fingerprint is canonical, order independent, and includes rollout class
4. Verify the test's assertions and side effects.</t>
  </si>
  <si>
    <t>inventory fingerprint is canonical, order independent, and includes rollout class.
All declared source assertions and state checks satisfy the named behavior.</t>
  </si>
  <si>
    <t>AT-359</t>
  </si>
  <si>
    <t>loader rejects missing and extra policy rows</t>
  </si>
  <si>
    <t>1. Load the source-defined test fixtures.
2. Run this check using the Node test command.
3. Exercise: loader rejects missing and extra policy rows
4. Verify the test's assertions and side effects.</t>
  </si>
  <si>
    <t>loader rejects missing and extra policy rows.
All declared source assertions and state checks satisfy the named behavior.</t>
  </si>
  <si>
    <t>AT-360</t>
  </si>
  <si>
    <t>loader rejects duplicate IDs, malformed hashes, and invalid rollout classes</t>
  </si>
  <si>
    <t>1. Load the source-defined test fixtures.
2. Run this check using the Node test command.
3. Exercise: loader rejects duplicate IDs, malformed hashes, and invalid rollout classes
4. Verify the test's assertions and side effects.</t>
  </si>
  <si>
    <t>loader rejects duplicate IDs, malformed hashes, and invalid rollout classes.
All declared source assertions and state checks satisfy the named behavior.</t>
  </si>
  <si>
    <t>AT-361</t>
  </si>
  <si>
    <t>loader rejects SQL whose bytes no longer match its reviewed policy checksum</t>
  </si>
  <si>
    <t>1. Load the source-defined test fixtures.
2. Run this check using the Node test command.
3. Exercise: loader rejects SQL whose bytes no longer match its reviewed policy checksum
4. Verify the test's assertions and side effects.</t>
  </si>
  <si>
    <t>loader rejects SQL whose bytes no longer match its reviewed policy checksum.
All declared source assertions and state checks satisfy the named behavior.</t>
  </si>
  <si>
    <t>AT-362</t>
  </si>
  <si>
    <t>loader rejects unnumbered SQL files instead of silently omitting them</t>
  </si>
  <si>
    <t>1. Load the source-defined test fixtures.
2. Run this check using the Node test command.
3. Exercise: loader rejects unnumbered SQL files instead of silently omitting them
4. Verify the test's assertions and side effects.</t>
  </si>
  <si>
    <t>loader rejects unnumbered SQL files instead of silently omitting them.
All declared source assertions and state checks satisfy the named behavior.</t>
  </si>
  <si>
    <t>AT-363</t>
  </si>
  <si>
    <t>checked-in policy keeps pending operator migrations blocked without banning future expand reviews</t>
  </si>
  <si>
    <t>1. Load the source-defined test fixtures.
2. Run this check using the Node test command.
3. Exercise: checked-in policy keeps pending operator migrations blocked without banning future expand reviews
4. Verify the test's assertions and side effects.</t>
  </si>
  <si>
    <t>checked-in policy keeps pending operator migrations blocked without banning future expand reviews.
All declared source assertions and state checks satisfy the named behavior.</t>
  </si>
  <si>
    <t>AT-364</t>
  </si>
  <si>
    <t>refresh updates registered checksums only and refuses to register an unreviewed migration</t>
  </si>
  <si>
    <t>1. Load the source-defined test fixtures.
2. Run this check using the Node test command.
3. Exercise: refresh updates registered checksums only and refuses to register an unreviewed migration
4. Verify the test's assertions and side effects.</t>
  </si>
  <si>
    <t>refresh updates registered checksums only and refuses to register an unreviewed migration.
All declared source assertions and state checks satisfy the named behavior.</t>
  </si>
  <si>
    <t>AT-365</t>
  </si>
  <si>
    <t>history check permits new SQL but rejects modifications and removals from the base</t>
  </si>
  <si>
    <t>1. Load the source-defined test fixtures.
2. Run this check using the Node test command.
3. Exercise: history check permits new SQL but rejects modifications and removals from the base
4. Verify the test's assertions and side effects.</t>
  </si>
  <si>
    <t>history check permits new SQL but rejects modifications and removals from the base.
All declared source assertions and state checks satisfy the named behavior.</t>
  </si>
  <si>
    <t>AT-366</t>
  </si>
  <si>
    <t>history check rejects removing a migration present in the base</t>
  </si>
  <si>
    <t>1. Load the source-defined test fixtures.
2. Run this check using the Node test command.
3. Exercise: history check rejects removing a migration present in the base
4. Verify the test's assertions and side effects.</t>
  </si>
  <si>
    <t>history check rejects removing a migration present in the base.
All declared source assertions and state checks satisfy the named behavior.</t>
  </si>
  <si>
    <t>AT-367</t>
  </si>
  <si>
    <t>expand policy rejects known destructive SQL while operator policy remains eligible for review</t>
  </si>
  <si>
    <t>1. Load the source-defined test fixtures.
2. Run this check using the Node test command.
3. Exercise: expand policy rejects known destructive SQL while operator policy remains eligible for review
4. Verify the test's assertions and side effects.</t>
  </si>
  <si>
    <t>expand policy rejects known destructive SQL while operator policy remains eligible for review.
All declared source assertions and state checks satisfy the named behavior.</t>
  </si>
  <si>
    <t>release (14)</t>
  </si>
  <si>
    <t>AT-368</t>
  </si>
  <si>
    <t>release code is present</t>
  </si>
  <si>
    <t>1. Load the source-defined test fixtures.
2. Run this check using the Node test command.
3. Exercise: release code is present
4. Verify the test's assertions and side effects.</t>
  </si>
  <si>
    <t>release code is present.
All declared source assertions and state checks satisfy the named behavior.</t>
  </si>
  <si>
    <t>AT-369</t>
  </si>
  <si>
    <t>release metadata binds the complete migration policy inventory</t>
  </si>
  <si>
    <t>1. Load the source-defined test fixtures.
2. Run this check using the Node test command.
3. Exercise: release metadata binds the complete migration policy inventory
4. Verify the test's assertions and side effects.</t>
  </si>
  <si>
    <t>release metadata binds the complete migration policy inventory.
All declared source assertions and state checks satisfy the named behavior.</t>
  </si>
  <si>
    <t>AT-370</t>
  </si>
  <si>
    <t>only public canonical push targets can obtain a deployment environment</t>
  </si>
  <si>
    <t>1. Load the source-defined test fixtures.
2. Run this check using the Node test command.
3. Exercise: only public canonical push targets can obtain a deployment environment
4. Verify the test's assertions and side effects.</t>
  </si>
  <si>
    <t>only public canonical push targets can obtain a deployment environment.
All declared source assertions and state checks satisfy the named behavior.</t>
  </si>
  <si>
    <t>AT-371</t>
  </si>
  <si>
    <t>SSH uses fixed operations, pinned hosts and validated connection fields</t>
  </si>
  <si>
    <t>1. Load the source-defined test fixtures.
2. Run this check using the Node test command.
3. Exercise: SSH uses fixed operations, pinned hosts and validated connection fields
4. Verify the test's assertions and side effects.</t>
  </si>
  <si>
    <t>SSH uses fixed operations, pinned hosts and validated connection fields.
All declared source assertions and state checks satisfy the named behavior.</t>
  </si>
  <si>
    <t>AT-372</t>
  </si>
  <si>
    <t>stale builds fail before a deployment call</t>
  </si>
  <si>
    <t>1. Load the source-defined test fixtures.
2. Run this check using the Node test command.
3. Exercise: stale builds fail before a deployment call
4. Verify the test's assertions and side effects.</t>
  </si>
  <si>
    <t>stale builds fail before a deployment call.
All declared source assertions and state checks satisfy the named behavior.</t>
  </si>
  <si>
    <t>AT-373</t>
  </si>
  <si>
    <t>production promotion changes deployment identity without rebuilding images</t>
  </si>
  <si>
    <t>1. Load the source-defined test fixtures.
2. Run this check using the Node test command.
3. Exercise: production promotion changes deployment identity without rebuilding images
4. Verify the test's assertions and side effects.</t>
  </si>
  <si>
    <t>production promotion changes deployment identity without rebuilding images.
All declared source assertions and state checks satisfy the named behavior.</t>
  </si>
  <si>
    <t>AT-374</t>
  </si>
  <si>
    <t>staging plans the exact source before upload and fences every mutating call</t>
  </si>
  <si>
    <t>1. Load the source-defined test fixtures.
2. Run this check using the Node test command.
3. Exercise: staging plans the exact source before upload and fences every mutating call
4. Verify the test's assertions and side effects.</t>
  </si>
  <si>
    <t>staging plans the exact source before upload and fences every mutating call.
All declared source assertions and state checks satisfy the named behavior.</t>
  </si>
  <si>
    <t>AT-375</t>
  </si>
  <si>
    <t>a previous migration attempt is reconciled and replanned before upload</t>
  </si>
  <si>
    <t>1. Load the source-defined test fixtures.
2. Run this check using the Node test command.
3. Exercise: a previous migration attempt is reconciled and replanned before upload
4. Verify the test's assertions and side effects.</t>
  </si>
  <si>
    <t>a previous migration attempt is reconciled and replanned before upload.
All declared source assertions and state checks satisfy the named behavior.</t>
  </si>
  <si>
    <t>AT-376</t>
  </si>
  <si>
    <t>a blocked or malformed staging plan stops before any upload</t>
  </si>
  <si>
    <t>1. Load the source-defined test fixtures.
2. Run this check using the Node test command.
3. Exercise: a blocked or malformed staging plan stops before any upload
4. Verify the test's assertions and side effects.</t>
  </si>
  <si>
    <t>a blocked or malformed staging plan stops before any upload.
All declared source assertions and state checks satisfy the named behavior.</t>
  </si>
  <si>
    <t>AT-377</t>
  </si>
  <si>
    <t>production plans against its own verified staging artifact then promotes without upload or rebuild</t>
  </si>
  <si>
    <t>1. Load the source-defined test fixtures.
2. Run this check using the Node test command.
3. Exercise: production plans against its own verified staging artifact then promotes without upload or rebuild
4. Verify the test's assertions and side effects.</t>
  </si>
  <si>
    <t>production plans against its own verified staging artifact then promotes without upload or rebuild.
All declared source assertions and state checks satisfy the named behavior.</t>
  </si>
  <si>
    <t>AT-378</t>
  </si>
  <si>
    <t>PR, fork and stale-head jobs cannot send migration or deployment requests</t>
  </si>
  <si>
    <t>1. Load the source-defined test fixtures.
2. Run this check using the Node test command.
3. Exercise: PR, fork and stale-head jobs cannot send migration or deployment requests
4. Verify the test's assertions and side effects.</t>
  </si>
  <si>
    <t>PR, fork and stale-head jobs cannot send migration or deployment requests.
All declared source assertions and state checks satisfy the named behavior.</t>
  </si>
  <si>
    <t>AT-379</t>
  </si>
  <si>
    <t>preflight checks each environment with a read-only status request</t>
  </si>
  <si>
    <t>1. Load the source-defined test fixtures.
2. Run this check using the Node test command.
3. Exercise: preflight checks each environment with a read-only status request
4. Verify the test's assertions and side effects.</t>
  </si>
  <si>
    <t>preflight checks each environment with a read-only status request.
All declared source assertions and state checks satisfy the named behavior.</t>
  </si>
  <si>
    <t>AT-380</t>
  </si>
  <si>
    <t>preflight refuses unavailable, incomplete or unresolved release state</t>
  </si>
  <si>
    <t>1. Load the source-defined test fixtures.
2. Run this check using the Node test command.
3. Exercise: preflight refuses unavailable, incomplete or unresolved release state
4. Verify the test's assertions and side effects.</t>
  </si>
  <si>
    <t>preflight refuses unavailable, incomplete or unresolved release state.
All declared source assertions and state checks satisfy the named behavior.</t>
  </si>
  <si>
    <t>AT-381</t>
  </si>
  <si>
    <t>preflight accepts the operator's non-promotable manual baseline format</t>
  </si>
  <si>
    <t>1. Load the source-defined test fixtures.
2. Run this check using the Node test command.
3. Exercise: preflight accepts the operator's non-promotable manual baseline format
4. Verify the test's assertions and side effects.</t>
  </si>
  <si>
    <t>preflight accepts the operator's non-promotable manual baseline format.
All declared source assertions and state checks satisfy the named behavior.</t>
  </si>
  <si>
    <t>transport (6)</t>
  </si>
  <si>
    <t>AT-382</t>
  </si>
  <si>
    <t>request and binary payload arrive in order and receive a bounded result</t>
  </si>
  <si>
    <t>1. Load the source-defined test fixtures.
2. Run this check using the Node test command.
3. Exercise: request and binary payload arrive in order and receive a bounded result
4. Verify the test's assertions and side effects.</t>
  </si>
  <si>
    <t>request and binary payload arrive in order and receive a bounded result.
All declared source assertions and state checks satisfy the named behavior.</t>
  </si>
  <si>
    <t>AT-383</t>
  </si>
  <si>
    <t>early receiver rejection closes an in-progress upload without unhandled failures</t>
  </si>
  <si>
    <t>1. Load the source-defined test fixtures.
2. Run this check using the Node test command.
3. Exercise: early receiver rejection closes an in-progress upload without unhandled failures
4. Verify the test's assertions and side effects.</t>
  </si>
  <si>
    <t>early receiver rejection closes an in-progress upload without unhandled failures.
All declared source assertions and state checks satisfy the named behavior.</t>
  </si>
  <si>
    <t>AT-384</t>
  </si>
  <si>
    <t>a bounded migration block keeps only its safe status and migration IDs</t>
  </si>
  <si>
    <t>1. Load the source-defined test fixtures.
2. Run this check using the Node test command.
3. Exercise: a bounded migration block keeps only its safe status and migration IDs
4. Verify the test's assertions and side effects.</t>
  </si>
  <si>
    <t>a bounded migration block keeps only its safe status and migration IDs.
All declared source assertions and state checks satisfy the named behavior.</t>
  </si>
  <si>
    <t>AT-385</t>
  </si>
  <si>
    <t>untrusted receiver failure text is discarded</t>
  </si>
  <si>
    <t>1. Load the source-defined test fixtures.
2. Run this check using the Node test command.
3. Exercise: untrusted receiver failure text is discarded
4. Verify the test's assertions and side effects.</t>
  </si>
  <si>
    <t>untrusted receiver failure text is discarded.
All declared source assertions and state checks satisfy the named behavior.</t>
  </si>
  <si>
    <t>AT-386</t>
  </si>
  <si>
    <t>hung or oversized receiver responses fail within the transport boundary</t>
  </si>
  <si>
    <t>1. Load the source-defined test fixtures.
2. Run this check using the Node test command.
3. Exercise: hung or oversized receiver responses fail within the transport boundary
4. Verify the test's assertions and side effects.</t>
  </si>
  <si>
    <t>hung or oversized receiver responses fail within the transport boundary.
All declared source assertions and state checks satisfy the named behavior.</t>
  </si>
  <si>
    <t>AT-387</t>
  </si>
  <si>
    <t>a missing transport executable is a handled failure</t>
  </si>
  <si>
    <t>1. Load the source-defined test fixtures.
2. Run this check using the Node test command.
3. Exercise: a missing transport executable is a handled failure
4. Verify the test's assertions and side effects.</t>
  </si>
  <si>
    <t>a missing transport executable is a handled failure.
All declared source assertions and state checks satisfy the named behavior.</t>
  </si>
  <si>
    <t>Manual Plan (50)</t>
  </si>
  <si>
    <t>Supplementary manual scenarios only. These are design coverage, not confirmed test execution and are excluded from the 387 automated-checkout total.</t>
  </si>
  <si>
    <t>AUTH (7)</t>
  </si>
  <si>
    <t>TC-05-001</t>
  </si>
  <si>
    <t>Email account signup</t>
  </si>
  <si>
    <t>1. Establish the specified actor and state.
2. An unauthenticated user submits a valid new email, password and account details.
3. Capture response and persistent state.</t>
  </si>
  <si>
    <t>The sign-up API validates the request, rejects malformed input and follows its configured verification flow.</t>
  </si>
  <si>
    <t>Synthetic account, nonproduction authentication provider, isolated session.</t>
  </si>
  <si>
    <t>Priority: Critical; Level: ST / AT
Source: apps/api/src/app.test.ts
Manually designed scenario only: no execution receipt.</t>
  </si>
  <si>
    <t>TC-05-002</t>
  </si>
  <si>
    <t>Duplicate signup</t>
  </si>
  <si>
    <t>1. Establish the specified actor and state.
2. Submit the signup form with an email already registered.
3. Capture response and persistent state.</t>
  </si>
  <si>
    <t>The duplicate is rejected without creating a second account.</t>
  </si>
  <si>
    <t>Priority: High; Level: ST / AT
Source: apps/api/src/app.test.ts
Manually designed scenario only: no execution receipt.</t>
  </si>
  <si>
    <t>TC-05-003</t>
  </si>
  <si>
    <t>Password reset</t>
  </si>
  <si>
    <t>1. Establish the specified actor and state.
2. Request a reset then complete the verification and password-change flow.
3. Capture response and persistent state.</t>
  </si>
  <si>
    <t>The reset uses the verified caller flow; invalid or expired credentials cannot change another account.</t>
  </si>
  <si>
    <t>TC-05-004</t>
  </si>
  <si>
    <t>Google PKCE callback</t>
  </si>
  <si>
    <t>1. Establish the specified actor and state.
2. Begin Google sign-in, return to the Arden callback and finish the configured one-time password step.
3. Capture response and persistent state.</t>
  </si>
  <si>
    <t>PKCE exchange remains bound to the correct callback and caller; a required setup step cannot be bypassed.</t>
  </si>
  <si>
    <t>TC-05-005</t>
  </si>
  <si>
    <t>Signed-out session invalidation</t>
  </si>
  <si>
    <t>1. Establish the specified actor and state.
2. Sign in then sign out, then reuse the prior session.
3. Capture response and persistent state.</t>
  </si>
  <si>
    <t>The server rejects the stale session and does not return an authenticated caller.</t>
  </si>
  <si>
    <t>Priority: Critical; Level: ST / AT
Source: apps/api/src/auth/provider.integration.test.ts
Manually designed scenario only: no execution receipt.</t>
  </si>
  <si>
    <t>TC-05-006</t>
  </si>
  <si>
    <t>Desktop API allowlist</t>
  </si>
  <si>
    <t>1. Establish the specified actor and state.
2. Attempt a desktop bridge request with an unsupported method or endpoint.
3. Capture response and persistent state.</t>
  </si>
  <si>
    <t>The main-process request policy rejects the request before forwarding.</t>
  </si>
  <si>
    <t>Priority: Critical; Level: ST / AT
Source: apps/desktop/src/main/apiRequestPolicy.test.ts
Manually designed scenario only: no execution receipt.</t>
  </si>
  <si>
    <t>TC-05-007</t>
  </si>
  <si>
    <t>Health and readiness privacy</t>
  </si>
  <si>
    <t>1. Establish the specified actor and state.
2. Request public health/readiness endpoints during an underlying dependency failure.
3. Capture response and persistent state.</t>
  </si>
  <si>
    <t>Public health remains accessible; readiness reports failure without exposing secrets.</t>
  </si>
  <si>
    <t>ORG (6)</t>
  </si>
  <si>
    <t>TC-05-008</t>
  </si>
  <si>
    <t>Create organization</t>
  </si>
  <si>
    <t>1. Establish the specified actor and state.
2. An authenticated account creates a new organization.
3. Capture response and persistent state.</t>
  </si>
  <si>
    <t>The creator becomes its first organization admin and primary-department member.</t>
  </si>
  <si>
    <t>Test organization, invited/active accounts and distinct departments.</t>
  </si>
  <si>
    <t>TC-05-009</t>
  </si>
  <si>
    <t>Invite existing and new members</t>
  </si>
  <si>
    <t>1. Establish the specified actor and state.
2. An admin invites a new email and tries inviting an already-member email.
3. Capture response and persistent state.</t>
  </si>
  <si>
    <t>New invitation is created without membership mutation; existing member email is rejected case-insensitively.</t>
  </si>
  <si>
    <t>Priority: Critical; Level: ST / AT
Source: packages/ui/tests/organizationWorkflow.test.ts
Manually designed scenario only: no execution receipt.</t>
  </si>
  <si>
    <t>TC-05-010</t>
  </si>
  <si>
    <t>Invitation token and account binding</t>
  </si>
  <si>
    <t>1. Establish the specified actor and state.
2. Open an invitation using the wrong signed-in account.
3. Capture response and persistent state.</t>
  </si>
  <si>
    <t>The wrong account cannot accept or gain membership.</t>
  </si>
  <si>
    <t>TC-05-011</t>
  </si>
  <si>
    <t>Invitation expiry and renewal</t>
  </si>
  <si>
    <t>1. Establish the specified actor and state.
2. Attempt acceptance at the exact expiry boundary, then renew an eligible expired invitation.
3. Capture response and persistent state.</t>
  </si>
  <si>
    <t>Expired invitation is denied and renewal issues a new valid seven-day invitation.</t>
  </si>
  <si>
    <t>Priority: High; Level: ST / AT
Source: packages/ui/tests/organizationWorkflow.test.ts
Manually designed scenario only: no execution receipt.</t>
  </si>
  <si>
    <t>TC-05-012</t>
  </si>
  <si>
    <t>Membership assignment waiting room</t>
  </si>
  <si>
    <t>1. Establish the specified actor and state.
2. Sign in as an active member with no department assignment.
3. Capture response and persistent state.</t>
  </si>
  <si>
    <t>The member is placed in the waiting state; unrelated private-workspace access is not assumed.</t>
  </si>
  <si>
    <t>Priority: High; Level: ST / AT
Source: packages/ui/tests/membershipAssignment.test.ts
Manually designed scenario only: no execution receipt.</t>
  </si>
  <si>
    <t>TC-05-013</t>
  </si>
  <si>
    <t>Department scope separation</t>
  </si>
  <si>
    <t>1. Establish the specified actor and state.
2. An organization admin assigns departments and reviewer grants, then inspect as an unrelated actor.
3. Capture response and persistent state.</t>
  </si>
  <si>
    <t>Visibility follows organization and department boundaries; unrelated profiles are not exposed.</t>
  </si>
  <si>
    <t>Priority: Critical; Level: ST / AT
Source: apps/api/src/db/repository.integration.test.ts
Manually designed scenario only: no execution receipt.</t>
  </si>
  <si>
    <t>PRIVATE (5)</t>
  </si>
  <si>
    <t>TC-05-014</t>
  </si>
  <si>
    <t>Create and edit own note</t>
  </si>
  <si>
    <t>1. Establish the specified actor and state.
2. An authorized user creates and saves a private note and later edits it.
3. Capture response and persistent state.</t>
  </si>
  <si>
    <t>The note remains private to its owner, versioned and retrievable through authorized access.</t>
  </si>
  <si>
    <t>Two different members, owner-only note, known content version.</t>
  </si>
  <si>
    <t>TC-05-015</t>
  </si>
  <si>
    <t>Cross-user private note denial</t>
  </si>
  <si>
    <t>1. Establish the specified actor and state.
2. An unrelated member attempts to read/copy/edit another member's private note.
3. Capture response and persistent state.</t>
  </si>
  <si>
    <t>Row-level authorization denies access and does not leak content.</t>
  </si>
  <si>
    <t>TC-05-016</t>
  </si>
  <si>
    <t>Concurrent edit conflict</t>
  </si>
  <si>
    <t>1. Establish the specified actor and state.
2. Use an out-of-date note version while another save has already succeeded.
3. Capture response and persistent state.</t>
  </si>
  <si>
    <t>The conflict is surfaced and unsaved editor changes remain recoverable.</t>
  </si>
  <si>
    <t>Priority: High; Level: ST / AT
Source: packages/ui/tests/privateNoteConflict.test.ts
Manually designed scenario only: no execution receipt.</t>
  </si>
  <si>
    <t>TC-05-017</t>
  </si>
  <si>
    <t>Unsaved note switching</t>
  </si>
  <si>
    <t>1. Establish the specified actor and state.
2. Edit a note without saving, switch to another note and back.
3. Capture response and persistent state.</t>
  </si>
  <si>
    <t>Unsaved data is preserved in the client draft model until saved or explicitly discarded.</t>
  </si>
  <si>
    <t>Priority: High; Level: ST / AT
Source: packages/ui/tests/noteDraftModel.test.ts
Manually designed scenario only: no execution receipt.</t>
  </si>
  <si>
    <t>TC-05-018</t>
  </si>
  <si>
    <t>Opaque PDF content storage</t>
  </si>
  <si>
    <t>1. Establish the specified actor and state.
2. Upload PDF note content and attempt a client-controlled storage path.
3. Capture response and persistent state.</t>
  </si>
  <si>
    <t>Bytes are stored with opaque references and hashes; unsafe client-supplied paths are rejected.</t>
  </si>
  <si>
    <t>Priority: Critical; Level: ST / AT
Source: apps/api/src/private-notes/content-storage.test.ts
Manually designed scenario only: no execution receipt.</t>
  </si>
  <si>
    <t>GOVERNANCE (9)</t>
  </si>
  <si>
    <t>TC-05-019</t>
  </si>
  <si>
    <t>Private-to-shared copy</t>
  </si>
  <si>
    <t>1. Establish the specified actor and state.
2. Create a shared draft from owned private content; retry using a private note from another actor.
3. Capture response and persistent state.</t>
  </si>
  <si>
    <t>Authorized copy succeeds; inaccessible content cannot become shared.</t>
  </si>
  <si>
    <t>Author, eligible and ineligible reviewers, frozen submission and audience fixtures.</t>
  </si>
  <si>
    <t>Priority: Critical; Level: ST / AT
Source: apps/api/src/knowledge/policy.test.ts
Manually designed scenario only: no execution receipt.</t>
  </si>
  <si>
    <t>TC-05-020</t>
  </si>
  <si>
    <t>Responsible-department ownership</t>
  </si>
  <si>
    <t>1. Establish the specified actor and state.
2. An author chooses a responsible department different from their primary department.
3. Capture response and persistent state.</t>
  </si>
  <si>
    <t>Submission policy rejects an unsupported department override.</t>
  </si>
  <si>
    <t>TC-05-021</t>
  </si>
  <si>
    <t>Immutable review submission</t>
  </si>
  <si>
    <t>1. Establish the specified actor and state.
2. Submit a draft for review and edit its working copy afterwards.
3. Capture response and persistent state.</t>
  </si>
  <si>
    <t>The pending submission retains its original immutable snapshot.</t>
  </si>
  <si>
    <t>Priority: Critical; Level: ST / AT
Source: packages/ui/tests/knowledgePreviewModel.test.ts
Manually designed scenario only: no execution receipt.</t>
  </si>
  <si>
    <t>TC-05-022</t>
  </si>
  <si>
    <t>Reviewer grant and self-review</t>
  </si>
  <si>
    <t>1. Establish the specified actor and state.
2. Attempt approval as the author, as an unrelated member, then as a valid matching reviewer.
3. Capture response and persistent state.</t>
  </si>
  <si>
    <t>Only a currently eligible reviewer can approve; ordinary self-review is blocked.</t>
  </si>
  <si>
    <t>Priority: Critical; Level: ST / AT
Source: apps/api/src/knowledge/review-decision.test.ts
Manually designed scenario only: no execution receipt.</t>
  </si>
  <si>
    <t>TC-05-023</t>
  </si>
  <si>
    <t>Restricted classification reviewer</t>
  </si>
  <si>
    <t>1. Establish the specified actor and state.
2. Attempt Restricted-material review with a reviewer without specialist/senior grant.
3. Capture response and persistent state.</t>
  </si>
  <si>
    <t>Review is denied unless the classification-specific grant criteria are met.</t>
  </si>
  <si>
    <t>Priority: Critical; Level: ST / AT
Source: apps/api/src/knowledge/review-queue.test.ts
Manually designed scenario only: no execution receipt.</t>
  </si>
  <si>
    <t>TC-05-024</t>
  </si>
  <si>
    <t>Invalid publication audience</t>
  </si>
  <si>
    <t>1. Establish the specified actor and state.
2. Submit a group/department audience outside permitted scope.
3. Capture response and persistent state.</t>
  </si>
  <si>
    <t>Out-of-scope audience is rejected; invalid pending submissions remain rejectable.</t>
  </si>
  <si>
    <t>Priority: High; Level: ST / AT
Source: apps/api/src/knowledge/review-queue.test.ts
Manually designed scenario only: no execution receipt.</t>
  </si>
  <si>
    <t>TC-05-025</t>
  </si>
  <si>
    <t>Approval is not immediate publication</t>
  </si>
  <si>
    <t>1. Establish the specified actor and state.
2. Approve a valid review while indexing is incomplete.
3. Capture response and persistent state.</t>
  </si>
  <si>
    <t>Approval prepares publication; readers cannot see a new active snapshot until index-ready activation.</t>
  </si>
  <si>
    <t>TC-05-026</t>
  </si>
  <si>
    <t>Old publication retained on revision</t>
  </si>
  <si>
    <t>1. Establish the specified actor and state.
2. Revise an already published document and submit a new snapshot.
3. Capture response and persistent state.</t>
  </si>
  <si>
    <t>Existing active version remains readable until the new approved indexed generation activates.</t>
  </si>
  <si>
    <t>Priority: Critical; Level: ST / AT
Source: apps/api/src/indexing/worker.test.ts
Manually designed scenario only: no execution receipt.</t>
  </si>
  <si>
    <t>TC-05-027</t>
  </si>
  <si>
    <t>Publication validity period</t>
  </si>
  <si>
    <t>1. Establish the specified actor and state.
2. Read a publication before its effective date and after its expiry.
3. Capture response and persistent state.</t>
  </si>
  <si>
    <t>Client labels upcoming/expired states and access policy respects active validity.</t>
  </si>
  <si>
    <t>Priority: High; Level: ST / AT
Source: packages/ui/tests/knowledgeDocumentDetail.test.ts
Manually designed scenario only: no execution receipt.</t>
  </si>
  <si>
    <t>INDEX (6)</t>
  </si>
  <si>
    <t>TC-05-028</t>
  </si>
  <si>
    <t>Indexed snapshot identity</t>
  </si>
  <si>
    <t>1. Establish the specified actor and state.
2. Submit a valid content snapshot for indexing and inspect resulting generation manifest.
3. Capture response and persistent state.</t>
  </si>
  <si>
    <t>Content hashes and source identity match the immutable input; manifest is strict and digest verified.</t>
  </si>
  <si>
    <t>Approved snapshot, candidate index generation and isolated AI service.</t>
  </si>
  <si>
    <t>Priority: Critical; Level: IT / ST
Source: apps/api/src/indexing/contracts.test.ts
Manually designed scenario only: no execution receipt.</t>
  </si>
  <si>
    <t>TC-05-029</t>
  </si>
  <si>
    <t>Superseded generation retry</t>
  </si>
  <si>
    <t>1. Establish the specified actor and state.
2. Supersede a pending index job before retrying the old generation.
3. Capture response and persistent state.</t>
  </si>
  <si>
    <t>Worker does not publish or re-index a superseded generation.</t>
  </si>
  <si>
    <t>Priority: Critical; Level: IT / ST
Source: apps/api/src/indexing/worker.test.ts
Manually designed scenario only: no execution receipt.</t>
  </si>
  <si>
    <t>TC-05-030</t>
  </si>
  <si>
    <t>PDF index payload integrity</t>
  </si>
  <si>
    <t>1. Establish the specified actor and state.
2. Index a PDF snapshot through the Arden/Arden-AI boundary.
3. Capture response and persistent state.</t>
  </si>
  <si>
    <t>PDF is sent with MIME type and integrity checks without altering snapshot identity.</t>
  </si>
  <si>
    <t>Priority: High; Level: IT / ST
Source: apps/api/src/indexing/worker.test.ts
Manually designed scenario only: no execution receipt.</t>
  </si>
  <si>
    <t>TC-05-031</t>
  </si>
  <si>
    <t>AI index endpoint service authentication</t>
  </si>
  <si>
    <t>1. Establish the specified actor and state.
2. Call the AI index generation endpoint without the configured service credential.
3. Capture response and persistent state.</t>
  </si>
  <si>
    <t>The endpoint rejects unauthenticated calls.</t>
  </si>
  <si>
    <t>Priority: Critical; Level: IT / ST
Source: https://github.com/Arden-Enterprise/Arden-AI/blob/cc0b4d2cf042be4d54c92abecd90f8ac7c1da3ec/tests/test_indexing_api.py
Manually designed scenario only: no execution receipt.</t>
  </si>
  <si>
    <t>TC-05-032</t>
  </si>
  <si>
    <t>Deterministic document chunking</t>
  </si>
  <si>
    <t>1. Establish the specified actor and state.
2. Compile a structured document twice with the same content and chunk settings.
3. Capture response and persistent state.</t>
  </si>
  <si>
    <t>Chunk boundaries, offsets and parent mapping are stable.</t>
  </si>
  <si>
    <t>Priority: High; Level: IT / ST
Source: https://github.com/Arden-Enterprise/Arden-AI/blob/cc0b4d2cf042be4d54c92abecd90f8ac7c1da3ec/tests/test_chunking.py
Manually designed scenario only: no execution receipt.</t>
  </si>
  <si>
    <t>TC-05-033</t>
  </si>
  <si>
    <t>Image-only PDF handling</t>
  </si>
  <si>
    <t>1. Establish the specified actor and state.
2. Submit a PDF with no extractable text to the AI compiler.
3. Capture response and persistent state.</t>
  </si>
  <si>
    <t>The PDF compiler rejects unsupported image-only content rather than inventing text.</t>
  </si>
  <si>
    <t>Priority: High; Level: IT / ST
Source: https://github.com/Arden-Enterprise/Arden-AI/blob/cc0b4d2cf042be4d54c92abecd90f8ac7c1da3ec/tests/test_pdf.py
Manually designed scenario only: no execution receipt.</t>
  </si>
  <si>
    <t>AI (6)</t>
  </si>
  <si>
    <t>TC-05-034</t>
  </si>
  <si>
    <t>Answer service authentication</t>
  </si>
  <si>
    <t>1. Establish the specified actor and state.
2. Call the AI answer endpoint without valid inter-service authentication.
3. Capture response and persistent state.</t>
  </si>
  <si>
    <t>The endpoint rejects the request.</t>
  </si>
  <si>
    <t>Member with controlled publication access, indexed chunks and answer request.</t>
  </si>
  <si>
    <t>Priority: Critical; Level: IT / ST
Source: https://github.com/Arden-Enterprise/Arden-AI/blob/cc0b4d2cf042be4d54c92abecd90f8ac7c1da3ec/tests/test_answering_api.py
Manually designed scenario only: no execution receipt.</t>
  </si>
  <si>
    <t>TC-05-035</t>
  </si>
  <si>
    <t>Retrieval allowlist</t>
  </si>
  <si>
    <t>1. Establish the specified actor and state.
2. Ask a question with an accessible publication set and inject other generation IDs into retrieval.
3. Capture response and persistent state.</t>
  </si>
  <si>
    <t>Only core-provided authorized generation IDs may contribute evidence.</t>
  </si>
  <si>
    <t>Priority: Critical; Level: IT / ST
Source: https://github.com/Arden-Enterprise/Arden-AI/blob/cc0b4d2cf042be4d54c92abecd90f8ac7c1da3ec/tests/test_answering.py
Manually designed scenario only: no execution receipt.</t>
  </si>
  <si>
    <t>TC-05-036</t>
  </si>
  <si>
    <t>Answer citation evidence</t>
  </si>
  <si>
    <t>1. Establish the specified actor and state.
2. Ask a question whose retrieved evidence contains citations.
3. Capture response and persistent state.</t>
  </si>
  <si>
    <t>Answer cites only retrieved evidence; unrelated sources are not returned.</t>
  </si>
  <si>
    <t>TC-05-037</t>
  </si>
  <si>
    <t>No-evidence abstention</t>
  </si>
  <si>
    <t>1. Establish the specified actor and state.
2. Ask a question with no eligible indexed source.
3. Capture response and persistent state.</t>
  </si>
  <si>
    <t>AI returns an honest no-evidence response with no fabricated citations.</t>
  </si>
  <si>
    <t>TC-05-038</t>
  </si>
  <si>
    <t>Citation-time permission recheck</t>
  </si>
  <si>
    <t>1. Establish the specified actor and state.
2. Revoke the caller's publication access after retrieval but before the response is returned.
3. Capture response and persistent state.</t>
  </si>
  <si>
    <t>The core API drops the answer and citations instead of leaking revoked content.</t>
  </si>
  <si>
    <t>Priority: Critical; Level: IT / ST
Source: apps/api/src/app.test.ts
Manually designed scenario only: no execution receipt.</t>
  </si>
  <si>
    <t>TC-05-039</t>
  </si>
  <si>
    <t>PDF citation page navigation</t>
  </si>
  <si>
    <t>1. Establish the specified actor and state.
2. Select a citation backed by a specific page in a PDF.
3. Capture response and persistent state.</t>
  </si>
  <si>
    <t>The UI navigates to the correct page with safe viewer identity and filenames.</t>
  </si>
  <si>
    <t>Priority: High; Level: IT / ST
Source: packages/ui/tests/pdfDocument.test.ts
Manually designed scenario only: no execution receipt.</t>
  </si>
  <si>
    <t>ADMIN (4)</t>
  </si>
  <si>
    <t>TC-05-040</t>
  </si>
  <si>
    <t>Organization member privacy</t>
  </si>
  <si>
    <t>1. Establish the specified actor and state.
2. List and manage members as an organization admin and then as an unrelated role.
3. Capture response and persistent state.</t>
  </si>
  <si>
    <t>Organization admins see authorized member administration; unrelated actors cannot inspect profiles.</t>
  </si>
  <si>
    <t>Organization admin and ordinary member; safe nonproduction email settings.</t>
  </si>
  <si>
    <t>TC-05-041</t>
  </si>
  <si>
    <t>Reviewer scope filtering</t>
  </si>
  <si>
    <t>1. Establish the specified actor and state.
2. View pending review queue with department-scoped and organization-scoped reviewer grants.
3. Capture response and persistent state.</t>
  </si>
  <si>
    <t>Only currently assigned and properly scoped submissions appear.</t>
  </si>
  <si>
    <t>TC-05-042</t>
  </si>
  <si>
    <t>Invitation mailer config safety</t>
  </si>
  <si>
    <t>1. Establish the specified actor and state.
2. Start with incomplete SMTP settings and attempt sending an invitation.
3. Capture response and persistent state.</t>
  </si>
  <si>
    <t>Incomplete configuration fails explicitly without exposing credentials.</t>
  </si>
  <si>
    <t>Priority: High; Level: ST / AT
Source: apps/api/src/email/smtp-mailer.test.ts
Manually designed scenario only: no execution receipt.</t>
  </si>
  <si>
    <t>TC-05-043</t>
  </si>
  <si>
    <t>Audit trail on protected writes</t>
  </si>
  <si>
    <t>1. Establish the specified actor and state.
2. Perform an authorized private/shared write and inspect audit behavior.
3. Capture response and persistent state.</t>
  </si>
  <si>
    <t>Authorized storage persists the relevant audit record; unauthorized cross-user write is blocked.</t>
  </si>
  <si>
    <t>Priority: High; Level: ST / AT
Source: apps/api/src/db/repository.integration.test.ts
Manually designed scenario only: no execution receipt.</t>
  </si>
  <si>
    <t>RELEASE (7)</t>
  </si>
  <si>
    <t>TC-05-044</t>
  </si>
  <si>
    <t>Migration checksum drift</t>
  </si>
  <si>
    <t>1. Establish the specified actor and state.
2. Modify SQL bytes of a previously reviewed migration and run inventory verification.
3. Capture response and persistent state.</t>
  </si>
  <si>
    <t>Checksum and immutable-history checks reject the change.</t>
  </si>
  <si>
    <t>Disposable receiver/test release store, signed identity and immutable payload fixtures.</t>
  </si>
  <si>
    <t>Priority: Critical; Level: IT / ST
Source: tools/releases/migration-inventory.test.mjs
Manually designed scenario only: no execution receipt.</t>
  </si>
  <si>
    <t>TC-05-045</t>
  </si>
  <si>
    <t>Migration plan operator fence</t>
  </si>
  <si>
    <t>1. Establish the specified actor and state.
2. Provide a pending operator-class migration to the deployment planner.
3. Capture response and persistent state.</t>
  </si>
  <si>
    <t>Planner blocks unattended application before destructive/incompatible changes.</t>
  </si>
  <si>
    <t>Priority: Critical; Level: IT / ST
Source: apps/api/src/db/migration-plan.test.ts
Manually designed scenario only: no execution receipt.</t>
  </si>
  <si>
    <t>TC-05-046</t>
  </si>
  <si>
    <t>Disposable DB migration repeat</t>
  </si>
  <si>
    <t>1. Establish the specified actor and state.
2. Apply migration chain twice to disposable PostgreSQL.
3. Capture response and persistent state.</t>
  </si>
  <si>
    <t>Second full run is an idempotent no-op and schema authorization tests pass.</t>
  </si>
  <si>
    <t>Priority: Critical; Level: IT / ST
Source: https://github.com/Arden-Enterprise/Arden/blob/953be5418f5489f14cb01c919cb649c207637ec9/.github/workflows/ci.yml
Manually designed scenario only: no execution receipt.</t>
  </si>
  <si>
    <t>TC-05-047</t>
  </si>
  <si>
    <t>Release identity binding</t>
  </si>
  <si>
    <t>1. Establish the specified actor and state.
2. Alter repository, branch, environment or source identity of a signed release request.
3. Capture response and persistent state.</t>
  </si>
  <si>
    <t>Release receiver rejects the mismatched identity before mutation.</t>
  </si>
  <si>
    <t>Priority: Critical; Level: IT / ST
Source: https://github.com/Arden-Enterprise/Arden/blob/953be5418f5489f14cb01c919cb649c207637ec9/deploy/release/tests/test_identity.py
Manually designed scenario only: no execution receipt.</t>
  </si>
  <si>
    <t>TC-05-048</t>
  </si>
  <si>
    <t>Tampered image upload</t>
  </si>
  <si>
    <t>1. Establish the specified actor and state.
2. Modify uploaded release payload after checksums were established.
3. Capture response and persistent state.</t>
  </si>
  <si>
    <t>Receiver rejects tampered upload without activating new images.</t>
  </si>
  <si>
    <t>Priority: Critical; Level: IT / ST
Source: https://github.com/Arden-Enterprise/Arden/blob/953be5418f5489f14cb01c919cb649c207637ec9/deploy/release/tests/test_receiver.py
Manually designed scenario only: no execution receipt.</t>
  </si>
  <si>
    <t>TC-05-049</t>
  </si>
  <si>
    <t>Release rollback and retention</t>
  </si>
  <si>
    <t>1. Establish the specified actor and state.
2. Simulate an interrupted activation and inspect rollback and cleanup.
3. Capture response and persistent state.</t>
  </si>
  <si>
    <t>Previous verified release can be restored; in-use/previous-environment images are retained.</t>
  </si>
  <si>
    <t>TC-05-050</t>
  </si>
  <si>
    <t>Exclusive remote writer</t>
  </si>
  <si>
    <t>1. Establish the specified actor and state.
2. Start competing shared-development backend sync sessions.
3. Capture response and persistent state.</t>
  </si>
  <si>
    <t>Only one writer receives the lease; a rejected competitor cannot release the valid writer's lock.</t>
  </si>
  <si>
    <t>Priority: High; Level: IT / ST
Source: https://github.com/Arden-Enterprise/Arden/blob/953be5418f5489f14cb01c919cb649c207637ec9/deploy/hosted/tests/test_workflow.py
Manually designed scenario only: no execution receipt.</t>
  </si>
  <si>
    <t>Quốc Anh</t>
  </si>
  <si>
    <t>UI source: packages/ui/tests/adminDetailIslands.test.ts:7
Passed on 31 October 2026 in the local run of 387 tests (380 passed, 7 skipped, 0 failed) on feat/workspace-shell-polish at 045a7b5.</t>
  </si>
  <si>
    <t>UI source: packages/ui/tests/adminDetailIslands.test.ts:11
Passed on 31 October 2026 in the local run of 387 tests (380 passed, 7 skipped, 0 failed) on feat/workspace-shell-polish at 045a7b5.</t>
  </si>
  <si>
    <t>UI source: packages/ui/tests/adminDetailIslands.test.ts:17
Passed on 31 October 2026 in the local run of 387 tests (380 passed, 7 skipped, 0 failed) on feat/workspace-shell-polish at 045a7b5.</t>
  </si>
  <si>
    <t>UI source: packages/ui/tests/adminDetailIslands.test.ts:24
Passed on 31 October 2026 in the local run of 387 tests (380 passed, 7 skipped, 0 failed) on feat/workspace-shell-polish at 045a7b5.</t>
  </si>
  <si>
    <t>UI source: packages/ui/tests/invitationFeedback.test.ts:50
Passed on 31 October 2026 in the local run of 387 tests (380 passed, 7 skipped, 0 failed) on feat/workspace-shell-polish at 045a7b5.</t>
  </si>
  <si>
    <t>UI source: packages/ui/tests/invitationFeedback.test.ts:56
Passed on 31 October 2026 in the local run of 387 tests (380 passed, 7 skipped, 0 failed) on feat/workspace-shell-polish at 045a7b5.</t>
  </si>
  <si>
    <t>UI source: packages/ui/tests/invitationFeedback.test.ts:62
Passed on 31 October 2026 in the local run of 387 tests (380 passed, 7 skipped, 0 failed) on feat/workspace-shell-polish at 045a7b5.</t>
  </si>
  <si>
    <t>UI source: packages/ui/tests/invitationFeedback.test.ts:66
Passed on 31 October 2026 in the local run of 387 tests (380 passed, 7 skipped, 0 failed) on feat/workspace-shell-polish at 045a7b5.</t>
  </si>
  <si>
    <t>UI source: packages/ui/tests/invitationFeedback.test.ts:90
Passed on 31 October 2026 in the local run of 387 tests (380 passed, 7 skipped, 0 failed) on feat/workspace-shell-polish at 045a7b5.</t>
  </si>
  <si>
    <t>UI source: packages/ui/tests/invitationStatus.test.ts:8
Passed on 31 October 2026 in the local run of 387 tests (380 passed, 7 skipped, 0 failed) on feat/workspace-shell-polish at 045a7b5.</t>
  </si>
  <si>
    <t>UI source: packages/ui/tests/invitationStatus.test.ts:13
Passed on 31 October 2026 in the local run of 387 tests (380 passed, 7 skipped, 0 failed) on feat/workspace-shell-polish at 045a7b5.</t>
  </si>
  <si>
    <t>UI source: packages/ui/tests/invitationStatus.test.ts:19
Passed on 31 October 2026 in the local run of 387 tests (380 passed, 7 skipped, 0 failed) on feat/workspace-shell-polish at 045a7b5.</t>
  </si>
  <si>
    <t>UI source: packages/ui/tests/memberAdministration.test.ts:19
Passed on 31 October 2026 in the local run of 387 tests (380 passed, 7 skipped, 0 failed) on feat/workspace-shell-polish at 045a7b5.</t>
  </si>
  <si>
    <t>UI source: packages/ui/tests/memberAdministration.test.ts:24
Passed on 31 October 2026 in the local run of 387 tests (380 passed, 7 skipped, 0 failed) on feat/workspace-shell-polish at 045a7b5.</t>
  </si>
  <si>
    <t>UI source: packages/ui/tests/memberAdministration.test.ts:28
Passed on 31 October 2026 in the local run of 387 tests (380 passed, 7 skipped, 0 failed) on feat/workspace-shell-polish at 045a7b5.</t>
  </si>
  <si>
    <t>UI source: packages/ui/tests/memberAdministration.test.ts:34
Passed on 31 October 2026 in the local run of 387 tests (380 passed, 7 skipped, 0 failed) on feat/workspace-shell-polish at 045a7b5.</t>
  </si>
  <si>
    <t>UI source: packages/ui/tests/memberAdministration.test.ts:42
Passed on 31 October 2026 in the local run of 387 tests (380 passed, 7 skipped, 0 failed) on feat/workspace-shell-polish at 045a7b5.</t>
  </si>
  <si>
    <t>UI source: packages/ui/tests/memberAdministration.test.ts:54
Passed on 31 October 2026 in the local run of 387 tests (380 passed, 7 skipped, 0 failed) on feat/workspace-shell-polish at 045a7b5.</t>
  </si>
  <si>
    <t>UI source: packages/ui/tests/membershipAssignment.test.ts:5
Passed on 31 October 2026 in the local run of 387 tests (380 passed, 7 skipped, 0 failed) on feat/workspace-shell-polish at 045a7b5.</t>
  </si>
  <si>
    <t>UI source: packages/ui/tests/membershipAssignment.test.ts:12
Passed on 31 October 2026 in the local run of 387 tests (380 passed, 7 skipped, 0 failed) on feat/workspace-shell-polish at 045a7b5.</t>
  </si>
  <si>
    <t>UI source: packages/ui/tests/membershipAssignment.test.ts:19
Passed on 31 October 2026 in the local run of 387 tests (380 passed, 7 skipped, 0 failed) on feat/workspace-shell-polish at 045a7b5.</t>
  </si>
  <si>
    <t>UI source: packages/ui/tests/membershipAssignment.test.ts:26
Passed on 31 October 2026 in the local run of 387 tests (380 passed, 7 skipped, 0 failed) on feat/workspace-shell-polish at 045a7b5.</t>
  </si>
  <si>
    <t>UI source: packages/ui/tests/membershipAssignment.test.ts:34
Passed on 31 October 2026 in the local run of 387 tests (380 passed, 7 skipped, 0 failed) on feat/workspace-shell-polish at 045a7b5.</t>
  </si>
  <si>
    <t>UI source: packages/ui/tests/organizationWorkflow.test.ts:41
Passed on 31 October 2026 in the local run of 387 tests (380 passed, 7 skipped, 0 failed) on feat/workspace-shell-polish at 045a7b5.</t>
  </si>
  <si>
    <t>UI source: packages/ui/tests/organizationWorkflow.test.ts:62
Passed on 31 October 2026 in the local run of 387 tests (380 passed, 7 skipped, 0 failed) on feat/workspace-shell-polish at 045a7b5.</t>
  </si>
  <si>
    <t>UI source: packages/ui/tests/organizationWorkflow.test.ts:84
Parameterized case: duplicate invitation ID
Passed on 31 October 2026 in the local run of 387 tests (380 passed, 7 skipped, 0 failed) on feat/workspace-shell-polish at 045a7b5.</t>
  </si>
  <si>
    <t>UI source: packages/ui/tests/organizationWorkflow.test.ts:84
Parameterized case: duplicate pending invitation email
Passed on 31 October 2026 in the local run of 387 tests (380 passed, 7 skipped, 0 failed) on feat/workspace-shell-polish at 045a7b5.</t>
  </si>
  <si>
    <t>UI source: packages/ui/tests/organizationWorkflow.test.ts:84
Parameterized case: empty name
Passed on 31 October 2026 in the local run of 387 tests (380 passed, 7 skipped, 0 failed) on feat/workspace-shell-polish at 045a7b5.</t>
  </si>
  <si>
    <t>UI source: packages/ui/tests/organizationWorkflow.test.ts:84
Parameterized case: invalid email
Passed on 31 October 2026 in the local run of 387 tests (380 passed, 7 skipped, 0 failed) on feat/workspace-shell-polish at 045a7b5.</t>
  </si>
  <si>
    <t>UI source: packages/ui/tests/organizationWorkflow.test.ts:84
Parameterized case: missing invitation ID
Passed on 31 October 2026 in the local run of 387 tests (380 passed, 7 skipped, 0 failed) on feat/workspace-shell-polish at 045a7b5.</t>
  </si>
  <si>
    <t>UI source: packages/ui/tests/organizationWorkflow.test.ts:94
Passed on 31 October 2026 in the local run of 387 tests (380 passed, 7 skipped, 0 failed) on feat/workspace-shell-polish at 045a7b5.</t>
  </si>
  <si>
    <t>UI source: packages/ui/tests/organizationWorkflow.test.ts:107
Passed on 31 October 2026 in the local run of 387 tests (380 passed, 7 skipped, 0 failed) on feat/workspace-shell-polish at 045a7b5.</t>
  </si>
  <si>
    <t>UI source: packages/ui/tests/organizationWorkflow.test.ts:116
Passed on 31 October 2026 in the local run of 387 tests (380 passed, 7 skipped, 0 failed) on feat/workspace-shell-polish at 045a7b5.</t>
  </si>
  <si>
    <t>UI source: packages/ui/tests/organizationWorkflow.test.ts:122
Passed on 31 October 2026 in the local run of 387 tests (380 passed, 7 skipped, 0 failed) on feat/workspace-shell-polish at 045a7b5.</t>
  </si>
  <si>
    <t>UI source: packages/ui/tests/organizationWorkflow.test.ts:129
Passed on 31 October 2026 in the local run of 387 tests (380 passed, 7 skipped, 0 failed) on feat/workspace-shell-polish at 045a7b5.</t>
  </si>
  <si>
    <t>UI source: packages/ui/tests/organizationWorkflow.test.ts:138
Passed on 31 October 2026 in the local run of 387 tests (380 passed, 7 skipped, 0 failed) on feat/workspace-shell-polish at 045a7b5.</t>
  </si>
  <si>
    <t>UI source: packages/ui/tests/organizationWorkflow.test.ts:151
Passed on 31 October 2026 in the local run of 387 tests (380 passed, 7 skipped, 0 failed) on feat/workspace-shell-polish at 045a7b5.</t>
  </si>
  <si>
    <t>UI source: packages/ui/tests/organizationWorkflow.test.ts:161
Passed on 31 October 2026 in the local run of 387 tests (380 passed, 7 skipped, 0 failed) on feat/workspace-shell-polish at 045a7b5.</t>
  </si>
  <si>
    <t>UI source: packages/ui/tests/organizationWorkflow.test.ts:171
Passed on 31 October 2026 in the local run of 387 tests (380 passed, 7 skipped, 0 failed) on feat/workspace-shell-polish at 045a7b5.</t>
  </si>
  <si>
    <t>UI source: packages/ui/tests/organizationWorkflow.test.ts:177
Passed on 31 October 2026 in the local run of 387 tests (380 passed, 7 skipped, 0 failed) on feat/workspace-shell-polish at 045a7b5.</t>
  </si>
  <si>
    <t>UI source: packages/ui/tests/organizationWorkflow.test.ts:187
Passed on 31 October 2026 in the local run of 387 tests (380 passed, 7 skipped, 0 failed) on feat/workspace-shell-polish at 045a7b5.</t>
  </si>
  <si>
    <t>UI source: packages/ui/tests/organizationWorkflow.test.ts:197
Passed on 31 October 2026 in the local run of 387 tests (380 passed, 7 skipped, 0 failed) on feat/workspace-shell-polish at 045a7b5.</t>
  </si>
  <si>
    <t>UI source: packages/ui/tests/organizationWorkflow.test.ts:211
Passed on 31 October 2026 in the local run of 387 tests (380 passed, 7 skipped, 0 failed) on feat/workspace-shell-polish at 045a7b5.</t>
  </si>
  <si>
    <t>UI source: packages/ui/tests/organizationWorkflow.test.ts:221
Passed on 31 October 2026 in the local run of 387 tests (380 passed, 7 skipped, 0 failed) on feat/workspace-shell-polish at 045a7b5.</t>
  </si>
  <si>
    <t>UI source: packages/ui/tests/organizationWorkflow.test.ts:234
Passed on 31 October 2026 in the local run of 387 tests (380 passed, 7 skipped, 0 failed) on feat/workspace-shell-polish at 045a7b5.</t>
  </si>
  <si>
    <t>UI source: packages/ui/tests/organizationWorkflow.test.ts:245
Passed on 31 October 2026 in the local run of 387 tests (380 passed, 7 skipped, 0 failed) on feat/workspace-shell-polish at 045a7b5.</t>
  </si>
  <si>
    <t>UI source: packages/ui/tests/organizationWorkflow.test.ts:253
Passed on 31 October 2026 in the local run of 387 tests (380 passed, 7 skipped, 0 failed) on feat/workspace-shell-polish at 045a7b5.</t>
  </si>
  <si>
    <t>UI source: packages/ui/tests/organizationWorkflow.test.ts:266
Passed on 31 October 2026 in the local run of 387 tests (380 passed, 7 skipped, 0 failed) on feat/workspace-shell-polish at 045a7b5.</t>
  </si>
  <si>
    <t>UI source: packages/ui/tests/organizationWorkflow.test.ts:276
Passed on 31 October 2026 in the local run of 387 tests (380 passed, 7 skipped, 0 failed) on feat/workspace-shell-polish at 045a7b5.</t>
  </si>
  <si>
    <t>UI source: packages/ui/tests/organizationWorkflow.test.ts:290
Passed on 31 October 2026 in the local run of 387 tests (380 passed, 7 skipped, 0 failed) on feat/workspace-shell-polish at 045a7b5.</t>
  </si>
  <si>
    <t>UI source: packages/ui/tests/organizationWorkflow.test.ts:306
Passed on 31 October 2026 in the local run of 387 tests (380 passed, 7 skipped, 0 failed) on feat/workspace-shell-polish at 045a7b5.</t>
  </si>
  <si>
    <t>UI source: packages/ui/tests/organizationWorkflow.test.ts:312
Passed on 31 October 2026 in the local run of 387 tests (380 passed, 7 skipped, 0 failed) on feat/workspace-shell-polish at 045a7b5.</t>
  </si>
  <si>
    <t>UI source: packages/ui/tests/organizationWorkflow.test.ts:324
Passed on 31 October 2026 in the local run of 387 tests (380 passed, 7 skipped, 0 failed) on feat/workspace-shell-polish at 045a7b5.</t>
  </si>
  <si>
    <t>UI source: packages/ui/tests/organizationWorkflow.test.ts:332
Parameterized case: missing
Passed on 31 October 2026 in the local run of 387 tests (380 passed, 7 skipped, 0 failed) on feat/workspace-shell-polish at 045a7b5.</t>
  </si>
  <si>
    <t>UI source: packages/ui/tests/organizationWorkflow.test.ts:332
Parameterized case: unknown
Passed on 31 October 2026 in the local run of 387 tests (380 passed, 7 skipped, 0 failed) on feat/workspace-shell-polish at 045a7b5.</t>
  </si>
  <si>
    <t>UI source: packages/ui/tests/signInPage.test.ts:28
Passed on 31 October 2026 in the local run of 387 tests (380 passed, 7 skipped, 0 failed) on feat/workspace-shell-polish at 045a7b5.</t>
  </si>
  <si>
    <t>UI source: packages/ui/tests/signInPage.test.ts:77
Passed on 31 October 2026 in the local run of 387 tests (380 passed, 7 skipped, 0 failed) on feat/workspace-shell-polish at 045a7b5.</t>
  </si>
  <si>
    <t>UI source: packages/ui/tests/userCopy.test.ts:52
Parameterized case: ACTIVE
Passed on 31 October 2026 in the local run of 387 tests (380 passed, 7 skipped, 0 failed) on feat/workspace-shell-polish at 045a7b5.</t>
  </si>
  <si>
    <t>UI source: packages/ui/tests/userCopy.test.ts:52
Parameterized case: FAILED
Passed on 31 October 2026 in the local run of 387 tests (380 passed, 7 skipped, 0 failed) on feat/workspace-shell-polish at 045a7b5.</t>
  </si>
  <si>
    <t>UI source: packages/ui/tests/userCopy.test.ts:52
Parameterized case: PREPARING
Passed on 31 October 2026 in the local run of 387 tests (380 passed, 7 skipped, 0 failed) on feat/workspace-shell-polish at 045a7b5.</t>
  </si>
  <si>
    <t>UI source: packages/ui/tests/userCopy.test.ts:68
Passed on 31 October 2026 in the local run of 387 tests (380 passed, 7 skipped, 0 failed) on feat/workspace-shell-polish at 045a7b5.</t>
  </si>
  <si>
    <t>UI source: packages/ui/tests/userCopy.test.ts:76
Parameterized case: DEPARTMENT
Passed on 31 October 2026 in the local run of 387 tests (380 passed, 7 skipped, 0 failed) on feat/workspace-shell-polish at 045a7b5.</t>
  </si>
  <si>
    <t>UI source: packages/ui/tests/userCopy.test.ts:76
Parameterized case: ORGANIZATION
Passed on 31 October 2026 in the local run of 387 tests (380 passed, 7 skipped, 0 failed) on feat/workspace-shell-polish at 045a7b5.</t>
  </si>
  <si>
    <t>UI source: packages/ui/tests/userCopy.test.ts:115
Passed on 31 October 2026 in the local run of 387 tests (380 passed, 7 skipped, 0 failed) on feat/workspace-shell-polish at 045a7b5.</t>
  </si>
  <si>
    <t>UI source: packages/ui/tests/userCopy.test.ts:139
Passed on 31 October 2026 in the local run of 387 tests (380 passed, 7 skipped, 0 failed) on feat/workspace-shell-polish at 045a7b5.</t>
  </si>
  <si>
    <t>UI source: packages/ui/tests/userCopy.test.ts:148
Passed on 31 October 2026 in the local run of 387 tests (380 passed, 7 skipped, 0 failed) on feat/workspace-shell-polish at 045a7b5.</t>
  </si>
  <si>
    <t>UI source: packages/ui/tests/userCopy.test.ts:166
Passed on 31 October 2026 in the local run of 387 tests (380 passed, 7 skipped, 0 failed) on feat/workspace-shell-polish at 045a7b5.</t>
  </si>
  <si>
    <t>UI source: packages/ui/tests/workspaceSelectPage.test.ts:17
Passed on 31 October 2026 in the local run of 387 tests (380 passed, 7 skipped, 0 failed) on feat/workspace-shell-polish at 045a7b5.</t>
  </si>
  <si>
    <t>UI source: packages/ui/tests/workspaceSelectPage.test.ts:52
Passed on 31 October 2026 in the local run of 387 tests (380 passed, 7 skipped, 0 failed) on feat/workspace-shell-polish at 045a7b5.</t>
  </si>
  <si>
    <t>UI source: packages/ui/tests/workspaceSelectPage.test.ts:92
Passed on 31 October 2026 in the local run of 387 tests (380 passed, 7 skipped, 0 failed) on feat/workspace-shell-polish at 045a7b5.</t>
  </si>
  <si>
    <t>UI source: packages/ui/tests/ardenDocumentModel.test.ts:10
Passed on 31 October 2026 in the local run of 387 tests (380 passed, 7 skipped, 0 failed) on feat/workspace-shell-polish at 045a7b5.</t>
  </si>
  <si>
    <t>UI source: packages/ui/tests/ardenDocumentModel.test.ts:17
Passed on 31 October 2026 in the local run of 387 tests (380 passed, 7 skipped, 0 failed) on feat/workspace-shell-polish at 045a7b5.</t>
  </si>
  <si>
    <t>UI source: packages/ui/tests/ardenDocumentModel.test.ts:38
Passed on 31 October 2026 in the local run of 387 tests (380 passed, 7 skipped, 0 failed) on feat/workspace-shell-polish at 045a7b5.</t>
  </si>
  <si>
    <t>UI source: packages/ui/tests/ardenDocumentModel.test.ts:66
Passed on 31 October 2026 in the local run of 387 tests (380 passed, 7 skipped, 0 failed) on feat/workspace-shell-polish at 045a7b5.</t>
  </si>
  <si>
    <t>UI source: packages/ui/tests/ardenDocumentModel.test.ts:78
Passed on 31 October 2026 in the local run of 387 tests (380 passed, 7 skipped, 0 failed) on feat/workspace-shell-polish at 045a7b5.</t>
  </si>
  <si>
    <t>UI source: packages/ui/tests/askArdenModel.test.ts:5
Passed on 31 October 2026 in the local run of 387 tests (380 passed, 7 skipped, 0 failed) on feat/workspace-shell-polish at 045a7b5.</t>
  </si>
  <si>
    <t>UI source: packages/ui/tests/askArdenModel.test.ts:15
Passed on 31 October 2026 in the local run of 387 tests (380 passed, 7 skipped, 0 failed) on feat/workspace-shell-polish at 045a7b5.</t>
  </si>
  <si>
    <t>UI source: packages/ui/tests/knowledgeAudience.test.ts:11
Passed on 31 October 2026 in the local run of 387 tests (380 passed, 7 skipped, 0 failed) on feat/workspace-shell-polish at 045a7b5.</t>
  </si>
  <si>
    <t>UI source: packages/ui/tests/knowledgeAudience.test.ts:17
Passed on 31 October 2026 in the local run of 387 tests (380 passed, 7 skipped, 0 failed) on feat/workspace-shell-polish at 045a7b5.</t>
  </si>
  <si>
    <t>UI source: packages/ui/tests/knowledgeAudience.test.ts:21
Passed on 31 October 2026 in the local run of 387 tests (380 passed, 7 skipped, 0 failed) on feat/workspace-shell-polish at 045a7b5.</t>
  </si>
  <si>
    <t>UI source: packages/ui/tests/knowledgeDocumentDetail.test.ts:7
Passed on 31 October 2026 in the local run of 387 tests (380 passed, 7 skipped, 0 failed) on feat/workspace-shell-polish at 045a7b5.</t>
  </si>
  <si>
    <t>UI source: packages/ui/tests/knowledgeDocumentDetail.test.ts:11
Passed on 31 October 2026 in the local run of 387 tests (380 passed, 7 skipped, 0 failed) on feat/workspace-shell-polish at 045a7b5.</t>
  </si>
  <si>
    <t>UI source: packages/ui/tests/knowledgeDocumentDetail.test.ts:15
Passed on 31 October 2026 in the local run of 387 tests (380 passed, 7 skipped, 0 failed) on feat/workspace-shell-polish at 045a7b5.</t>
  </si>
  <si>
    <t>UI source: packages/ui/tests/knowledgeLibrary.test.ts:7
Passed on 31 October 2026 in the local run of 387 tests (380 passed, 7 skipped, 0 failed) on feat/workspace-shell-polish at 045a7b5.</t>
  </si>
  <si>
    <t>UI source: packages/ui/tests/knowledgeLibrary.test.ts:14
Passed on 31 October 2026 in the local run of 387 tests (380 passed, 7 skipped, 0 failed) on feat/workspace-shell-polish at 045a7b5.</t>
  </si>
  <si>
    <t>UI source: packages/ui/tests/knowledgeLibrary.test.ts:18
Passed on 31 October 2026 in the local run of 387 tests (380 passed, 7 skipped, 0 failed) on feat/workspace-shell-polish at 045a7b5.</t>
  </si>
  <si>
    <t>UI source: packages/ui/tests/knowledgePreviewModel.test.ts:5
Passed on 31 October 2026 in the local run of 387 tests (380 passed, 7 skipped, 0 failed) on feat/workspace-shell-polish at 045a7b5.</t>
  </si>
  <si>
    <t>UI source: packages/ui/tests/knowledgePreviewModel.test.ts:15
Passed on 31 October 2026 in the local run of 387 tests (380 passed, 7 skipped, 0 failed) on feat/workspace-shell-polish at 045a7b5.</t>
  </si>
  <si>
    <t>UI source: packages/ui/tests/knowledgePreviewModel.test.ts:25
Passed on 31 October 2026 in the local run of 387 tests (380 passed, 7 skipped, 0 failed) on feat/workspace-shell-polish at 045a7b5.</t>
  </si>
  <si>
    <t>UI source: packages/ui/tests/knowledgePreviewModel.test.ts:38
Passed on 31 October 2026 in the local run of 387 tests (380 passed, 7 skipped, 0 failed) on feat/workspace-shell-polish at 045a7b5.</t>
  </si>
  <si>
    <t>UI source: packages/ui/tests/knowledgePreviewModel.test.ts:57
Passed on 31 October 2026 in the local run of 387 tests (380 passed, 7 skipped, 0 failed) on feat/workspace-shell-polish at 045a7b5.</t>
  </si>
  <si>
    <t>UI source: packages/ui/tests/knowledgePreviewModel.test.ts:70
Passed on 31 October 2026 in the local run of 387 tests (380 passed, 7 skipped, 0 failed) on feat/workspace-shell-polish at 045a7b5.</t>
  </si>
  <si>
    <t>UI source: packages/ui/tests/knowledgePreviewModel.test.ts:89
Passed on 31 October 2026 in the local run of 387 tests (380 passed, 7 skipped, 0 failed) on feat/workspace-shell-polish at 045a7b5.</t>
  </si>
  <si>
    <t>UI source: packages/ui/tests/knowledgeStatus.test.ts:20
Passed on 31 October 2026 in the local run of 387 tests (380 passed, 7 skipped, 0 failed) on feat/workspace-shell-polish at 045a7b5.</t>
  </si>
  <si>
    <t>UI source: packages/ui/tests/knowledgeStatus.test.ts:28
Passed on 31 October 2026 in the local run of 387 tests (380 passed, 7 skipped, 0 failed) on feat/workspace-shell-polish at 045a7b5.</t>
  </si>
  <si>
    <t>UI source: packages/ui/tests/libraryDisplay.test.ts:5
Passed on 31 October 2026 in the local run of 387 tests (380 passed, 7 skipped, 0 failed) on feat/workspace-shell-polish at 045a7b5.</t>
  </si>
  <si>
    <t>UI source: packages/ui/tests/libraryDisplay.test.ts:10
Passed on 31 October 2026 in the local run of 387 tests (380 passed, 7 skipped, 0 failed) on feat/workspace-shell-polish at 045a7b5.</t>
  </si>
  <si>
    <t>UI source: packages/ui/tests/libraryDisplay.test.ts:14
Passed on 31 October 2026 in the local run of 387 tests (380 passed, 7 skipped, 0 failed) on feat/workspace-shell-polish at 045a7b5.</t>
  </si>
  <si>
    <t>UI source: packages/ui/tests/libraryDisplay.test.ts:18
Passed on 31 October 2026 in the local run of 387 tests (380 passed, 7 skipped, 0 failed) on feat/workspace-shell-polish at 045a7b5.</t>
  </si>
  <si>
    <t>UI source: packages/ui/tests/libraryDisplay.test.ts:22
Passed on 31 October 2026 in the local run of 387 tests (380 passed, 7 skipped, 0 failed) on feat/workspace-shell-polish at 045a7b5.</t>
  </si>
  <si>
    <t>UI source: packages/ui/tests/noteDraftModel.test.ts:11
Passed on 31 October 2026 in the local run of 387 tests (380 passed, 7 skipped, 0 failed) on feat/workspace-shell-polish at 045a7b5.</t>
  </si>
  <si>
    <t>UI source: packages/ui/tests/noteDraftModel.test.ts:22
Passed on 31 October 2026 in the local run of 387 tests (380 passed, 7 skipped, 0 failed) on feat/workspace-shell-polish at 045a7b5.</t>
  </si>
  <si>
    <t>UI source: packages/ui/tests/noteDraftModel.test.ts:34
Passed on 31 October 2026 in the local run of 387 tests (380 passed, 7 skipped, 0 failed) on feat/workspace-shell-polish at 045a7b5.</t>
  </si>
  <si>
    <t>UI source: packages/ui/tests/noteDraftModel.test.ts:41
Passed on 31 October 2026 in the local run of 387 tests (380 passed, 7 skipped, 0 failed) on feat/workspace-shell-polish at 045a7b5.</t>
  </si>
  <si>
    <t>UI source: packages/ui/tests/noteDraftModel.test.ts:52
Passed on 31 October 2026 in the local run of 387 tests (380 passed, 7 skipped, 0 failed) on feat/workspace-shell-polish at 045a7b5.</t>
  </si>
  <si>
    <t>UI source: packages/ui/tests/noteDraftModel.test.ts:63
Passed on 31 October 2026 in the local run of 387 tests (380 passed, 7 skipped, 0 failed) on feat/workspace-shell-polish at 045a7b5.</t>
  </si>
  <si>
    <t>UI source: packages/ui/tests/noteDraftModel.test.ts:71
Passed on 31 October 2026 in the local run of 387 tests (380 passed, 7 skipped, 0 failed) on feat/workspace-shell-polish at 045a7b5.</t>
  </si>
  <si>
    <t>UI source: packages/ui/tests/noteDraftModel.test.ts:82
Passed on 31 October 2026 in the local run of 387 tests (380 passed, 7 skipped, 0 failed) on feat/workspace-shell-polish at 045a7b5.</t>
  </si>
  <si>
    <t>UI source: packages/ui/tests/pdfDocument.test.ts:5
Passed on 31 October 2026 in the local run of 387 tests (380 passed, 7 skipped, 0 failed) on feat/workspace-shell-polish at 045a7b5.</t>
  </si>
  <si>
    <t>UI source: packages/ui/tests/pdfDocument.test.ts:13
Passed on 31 October 2026 in the local run of 387 tests (380 passed, 7 skipped, 0 failed) on feat/workspace-shell-polish at 045a7b5.</t>
  </si>
  <si>
    <t>UI source: packages/ui/tests/previewModel.test.ts:5
Passed on 31 October 2026 in the local run of 387 tests (380 passed, 7 skipped, 0 failed) on feat/workspace-shell-polish at 045a7b5.</t>
  </si>
  <si>
    <t>UI source: packages/ui/tests/previewModel.test.ts:11
Passed on 31 October 2026 in the local run of 387 tests (380 passed, 7 skipped, 0 failed) on feat/workspace-shell-polish at 045a7b5.</t>
  </si>
  <si>
    <t>UI source: packages/ui/tests/previewModel.test.ts:22
Passed on 31 October 2026 in the local run of 387 tests (380 passed, 7 skipped, 0 failed) on feat/workspace-shell-polish at 045a7b5.</t>
  </si>
  <si>
    <t>UI source: packages/ui/tests/previewModel.test.ts:29
Passed on 31 October 2026 in the local run of 387 tests (380 passed, 7 skipped, 0 failed) on feat/workspace-shell-polish at 045a7b5.</t>
  </si>
  <si>
    <t>UI source: packages/ui/tests/previewModel.test.ts:36
Passed on 31 October 2026 in the local run of 387 tests (380 passed, 7 skipped, 0 failed) on feat/workspace-shell-polish at 045a7b5.</t>
  </si>
  <si>
    <t>UI source: packages/ui/tests/previewModel.test.ts:46
Passed on 31 October 2026 in the local run of 387 tests (380 passed, 7 skipped, 0 failed) on feat/workspace-shell-polish at 045a7b5.</t>
  </si>
  <si>
    <t>UI source: packages/ui/tests/previewModel.test.ts:55
Passed on 31 October 2026 in the local run of 387 tests (380 passed, 7 skipped, 0 failed) on feat/workspace-shell-polish at 045a7b5.</t>
  </si>
  <si>
    <t>UI source: packages/ui/tests/privateNoteConflict.test.ts:9
Passed on 31 October 2026 in the local run of 387 tests (380 passed, 7 skipped, 0 failed) on feat/workspace-shell-polish at 045a7b5.</t>
  </si>
  <si>
    <t>UI source: packages/ui/tests/readerSelection.test.ts:14
Passed on 31 October 2026 in the local run of 387 tests (380 passed, 7 skipped, 0 failed) on feat/workspace-shell-polish at 045a7b5.</t>
  </si>
  <si>
    <t>UI source: packages/ui/tests/readerSelection.test.ts:21
Passed on 31 October 2026 in the local run of 387 tests (380 passed, 7 skipped, 0 failed) on feat/workspace-shell-polish at 045a7b5.</t>
  </si>
  <si>
    <t>UI source: packages/ui/tests/readerSelection.test.ts:27
Passed on 31 October 2026 in the local run of 387 tests (380 passed, 7 skipped, 0 failed) on feat/workspace-shell-polish at 045a7b5.</t>
  </si>
  <si>
    <t>UI source: packages/ui/tests/readerSelection.test.ts:32
Passed on 31 October 2026 in the local run of 387 tests (380 passed, 7 skipped, 0 failed) on feat/workspace-shell-polish at 045a7b5.</t>
  </si>
  <si>
    <t>UI source: packages/ui/tests/readerSelection.test.ts:39
Passed on 31 October 2026 in the local run of 387 tests (380 passed, 7 skipped, 0 failed) on feat/workspace-shell-polish at 045a7b5.</t>
  </si>
  <si>
    <t>UI source: packages/ui/tests/readerSelection.test.ts:44
Passed on 31 October 2026 in the local run of 387 tests (380 passed, 7 skipped, 0 failed) on feat/workspace-shell-polish at 045a7b5.</t>
  </si>
  <si>
    <t>UI source: packages/ui/tests/readerSelection.test.ts:50
Passed on 31 October 2026 in the local run of 387 tests (380 passed, 7 skipped, 0 failed) on feat/workspace-shell-polish at 045a7b5.</t>
  </si>
  <si>
    <t>UI source: packages/ui/tests/readerSelection.test.ts:58
Passed on 31 October 2026 in the local run of 387 tests (380 passed, 7 skipped, 0 failed) on feat/workspace-shell-polish at 045a7b5.</t>
  </si>
  <si>
    <t>UI source: packages/ui/tests/readerSelection.test.ts:66
Passed on 31 October 2026 in the local run of 387 tests (380 passed, 7 skipped, 0 failed) on feat/workspace-shell-polish at 045a7b5.</t>
  </si>
  <si>
    <t>UI source: packages/ui/tests/readerSelection.test.ts:70
Passed on 31 October 2026 in the local run of 387 tests (380 passed, 7 skipped, 0 failed) on feat/workspace-shell-polish at 045a7b5.</t>
  </si>
  <si>
    <t>UI source: packages/ui/tests/readerSelection.test.ts:74
Passed on 31 October 2026 in the local run of 387 tests (380 passed, 7 skipped, 0 failed) on feat/workspace-shell-polish at 045a7b5.</t>
  </si>
  <si>
    <t>UI source: packages/ui/tests/workQueueModel.test.ts:5
Passed on 31 October 2026 in the local run of 387 tests (380 passed, 7 skipped, 0 failed) on feat/workspace-shell-polish at 045a7b5.</t>
  </si>
  <si>
    <t>UI source: packages/ui/tests/workQueueModel.test.ts:8
Passed on 31 October 2026 in the local run of 387 tests (380 passed, 7 skipped, 0 failed) on feat/workspace-shell-polish at 045a7b5.</t>
  </si>
  <si>
    <t>UI source: packages/ui/tests/workQueueModel.test.ts:11
Passed on 31 October 2026 in the local run of 387 tests (380 passed, 7 skipped, 0 failed) on feat/workspace-shell-polish at 045a7b5.</t>
  </si>
  <si>
    <t>UI source: packages/ui/tests/workQueueModel.test.ts:16
Passed on 31 October 2026 in the local run of 387 tests (380 passed, 7 skipped, 0 failed) on feat/workspace-shell-polish at 045a7b5.</t>
  </si>
  <si>
    <t>UI source: packages/ui/tests/apiClient.test.ts:26
Passed on 31 October 2026 in the local run of 387 tests (380 passed, 7 skipped, 0 failed) on feat/workspace-shell-polish at 045a7b5.</t>
  </si>
  <si>
    <t>UI source: packages/ui/tests/apiClient.test.ts:35
Passed on 31 October 2026 in the local run of 387 tests (380 passed, 7 skipped, 0 failed) on feat/workspace-shell-polish at 045a7b5.</t>
  </si>
  <si>
    <t>UI source: packages/ui/tests/apiClient.test.ts:45
Passed on 31 October 2026 in the local run of 387 tests (380 passed, 7 skipped, 0 failed) on feat/workspace-shell-polish at 045a7b5.</t>
  </si>
  <si>
    <t>UI source: packages/ui/tests/apiClient.test.ts:59
Passed on 31 October 2026 in the local run of 387 tests (380 passed, 7 skipped, 0 failed) on feat/workspace-shell-polish at 045a7b5.</t>
  </si>
  <si>
    <t>UI source: packages/ui/tests/apiClient.test.ts:70
Passed on 31 October 2026 in the local run of 387 tests (380 passed, 7 skipped, 0 failed) on feat/workspace-shell-polish at 045a7b5.</t>
  </si>
  <si>
    <t>UI source: packages/ui/tests/apiClient.test.ts:81
Passed on 31 October 2026 in the local run of 387 tests (380 passed, 7 skipped, 0 failed) on feat/workspace-shell-polish at 045a7b5.</t>
  </si>
  <si>
    <t>UI source: packages/ui/tests/apiClient.test.ts:93
Passed on 31 October 2026 in the local run of 387 tests (380 passed, 7 skipped, 0 failed) on feat/workspace-shell-polish at 045a7b5.</t>
  </si>
  <si>
    <t>UI source: packages/ui/tests/apiClient.test.ts:105
Passed on 31 October 2026 in the local run of 387 tests (380 passed, 7 skipped, 0 failed) on feat/workspace-shell-polish at 045a7b5.</t>
  </si>
  <si>
    <t>UI source: packages/ui/tests/apiClient.test.ts:115
Passed on 31 October 2026 in the local run of 387 tests (380 passed, 7 skipped, 0 failed) on feat/workspace-shell-polish at 045a7b5.</t>
  </si>
  <si>
    <t>UI source: packages/ui/tests/apiClient.test.ts:130
Passed on 31 October 2026 in the local run of 387 tests (380 passed, 7 skipped, 0 failed) on feat/workspace-shell-polish at 045a7b5.</t>
  </si>
  <si>
    <t>UI source: packages/ui/tests/apiClient.test.ts:139
Passed on 31 October 2026 in the local run of 387 tests (380 passed, 7 skipped, 0 failed) on feat/workspace-shell-polish at 045a7b5.</t>
  </si>
  <si>
    <t>UI source: packages/ui/tests/apiClient.test.ts:150
Passed on 31 October 2026 in the local run of 387 tests (380 passed, 7 skipped, 0 failed) on feat/workspace-shell-polish at 045a7b5.</t>
  </si>
  <si>
    <t>UI source: packages/ui/tests/apiClient.test.ts:168
Passed on 31 October 2026 in the local run of 387 tests (380 passed, 7 skipped, 0 failed) on feat/workspace-shell-polish at 045a7b5.</t>
  </si>
  <si>
    <t>UI source: packages/ui/tests/apiClient.test.ts:185
Passed on 31 October 2026 in the local run of 387 tests (380 passed, 7 skipped, 0 failed) on feat/workspace-shell-polish at 045a7b5.</t>
  </si>
  <si>
    <t>UI source: packages/ui/tests/apiClient.test.ts:196
Passed on 31 October 2026 in the local run of 387 tests (380 passed, 7 skipped, 0 failed) on feat/workspace-shell-polish at 045a7b5.</t>
  </si>
  <si>
    <t>UI source: packages/ui/tests/apiClient.test.ts:208
Passed on 31 October 2026 in the local run of 387 tests (380 passed, 7 skipped, 0 failed) on feat/workspace-shell-polish at 045a7b5.</t>
  </si>
  <si>
    <t>UI source: packages/ui/tests/apiClient.test.ts:219
Passed on 31 October 2026 in the local run of 387 tests (380 passed, 7 skipped, 0 failed) on feat/workspace-shell-polish at 045a7b5.</t>
  </si>
  <si>
    <t>UI source: packages/ui/tests/apiClient.test.ts:229
Passed on 31 October 2026 in the local run of 387 tests (380 passed, 7 skipped, 0 failed) on feat/workspace-shell-polish at 045a7b5.</t>
  </si>
  <si>
    <t>UI source: packages/ui/tests/apiClient.test.ts:245
Passed on 31 October 2026 in the local run of 387 tests (380 passed, 7 skipped, 0 failed) on feat/workspace-shell-polish at 045a7b5.</t>
  </si>
  <si>
    <t>UI source: packages/ui/tests/apiClient.test.ts:266
Passed on 31 October 2026 in the local run of 387 tests (380 passed, 7 skipped, 0 failed) on feat/workspace-shell-polish at 045a7b5.</t>
  </si>
  <si>
    <t>UI source: packages/ui/tests/cancellation.test.ts:28
Passed on 31 October 2026 in the local run of 387 tests (380 passed, 7 skipped, 0 failed) on feat/workspace-shell-polish at 045a7b5.</t>
  </si>
  <si>
    <t>UI source: packages/ui/tests/cancellation.test.ts:37
Passed on 31 October 2026 in the local run of 387 tests (380 passed, 7 skipped, 0 failed) on feat/workspace-shell-polish at 045a7b5.</t>
  </si>
  <si>
    <t>UI source: packages/ui/tests/cancellation.test.ts:67
Passed on 31 October 2026 in the local run of 387 tests (380 passed, 7 skipped, 0 failed) on feat/workspace-shell-polish at 045a7b5.</t>
  </si>
  <si>
    <t>UI source: packages/ui/tests/cancellation.test.ts:87
Passed on 31 October 2026 in the local run of 387 tests (380 passed, 7 skipped, 0 failed) on feat/workspace-shell-polish at 045a7b5.</t>
  </si>
  <si>
    <t>UI source: packages/ui/tests/cancellation.test.ts:96
Passed on 31 October 2026 in the local run of 387 tests (380 passed, 7 skipped, 0 failed) on feat/workspace-shell-polish at 045a7b5.</t>
  </si>
  <si>
    <t>UI source: packages/ui/tests/cancellation.test.ts:111
Passed on 31 October 2026 in the local run of 387 tests (380 passed, 7 skipped, 0 failed) on feat/workspace-shell-polish at 045a7b5.</t>
  </si>
  <si>
    <t>UI source: packages/ui/tests/cancellation.test.ts:127
Passed on 31 October 2026 in the local run of 387 tests (380 passed, 7 skipped, 0 failed) on feat/workspace-shell-polish at 045a7b5.</t>
  </si>
  <si>
    <t>UI source: packages/ui/tests/cancellation.test.ts:143
Passed on 31 October 2026 in the local run of 387 tests (380 passed, 7 skipped, 0 failed) on feat/workspace-shell-polish at 045a7b5.</t>
  </si>
  <si>
    <t>UI source: packages/ui/tests/icons.test.ts:10
Passed on 31 October 2026 in the local run of 387 tests (380 passed, 7 skipped, 0 failed) on feat/workspace-shell-polish at 045a7b5.</t>
  </si>
  <si>
    <t>UI source: packages/ui/tests/icons.test.ts:17
Passed on 31 October 2026 in the local run of 387 tests (380 passed, 7 skipped, 0 failed) on feat/workspace-shell-polish at 045a7b5.</t>
  </si>
  <si>
    <t>UI source: packages/ui/tests/workspaceNavigation.test.ts:5
Parameterized case: admin
Passed on 31 October 2026 in the local run of 387 tests (380 passed, 7 skipped, 0 failed) on feat/workspace-shell-polish at 045a7b5.</t>
  </si>
  <si>
    <t>UI source: packages/ui/tests/workspaceNavigation.test.ts:5
Parameterized case: member
Passed on 31 October 2026 in the local run of 387 tests (380 passed, 7 skipped, 0 failed) on feat/workspace-shell-polish at 045a7b5.</t>
  </si>
  <si>
    <t>UI source: packages/ui/tests/workspaceNavigation.test.ts:19
Passed on 31 October 2026 in the local run of 387 tests (380 passed, 7 skipped, 0 failed) on feat/workspace-shell-polish at 045a7b5.</t>
  </si>
  <si>
    <t>UI source: packages/ui/tests/workspaceNavigation.test.ts:28
Passed on 31 October 2026 in the local run of 387 tests (380 passed, 7 skipped, 0 failed) on feat/workspace-shell-polish at 045a7b5.</t>
  </si>
  <si>
    <t>UI source: packages/ui/tests/workspaceNavigation.test.ts:34
Passed on 31 October 2026 in the local run of 387 tests (380 passed, 7 skipped, 0 failed) on feat/workspace-shell-polish at 045a7b5.</t>
  </si>
  <si>
    <t>API source: apps/api/src/app.test.ts:76
Passed on 31 October 2026 in the local run of 387 tests (380 passed, 7 skipped, 0 failed) on feat/workspace-shell-polish at 045a7b5.</t>
  </si>
  <si>
    <t>API source: apps/api/src/app.test.ts:94
Passed on 31 October 2026 in the local run of 387 tests (380 passed, 7 skipped, 0 failed) on feat/workspace-shell-polish at 045a7b5.</t>
  </si>
  <si>
    <t>API source: apps/api/src/app.test.ts:115
Passed on 31 October 2026 in the local run of 387 tests (380 passed, 7 skipped, 0 failed) on feat/workspace-shell-polish at 045a7b5.</t>
  </si>
  <si>
    <t>API source: apps/api/src/app.test.ts:132
Parameterized case: invented block
Passed on 31 October 2026 in the local run of 387 tests (380 passed, 7 skipped, 0 failed) on feat/workspace-shell-polish at 045a7b5.</t>
  </si>
  <si>
    <t>API source: apps/api/src/app.test.ts:132
Parameterized case: unlisted chunk
Passed on 31 October 2026 in the local run of 387 tests (380 passed, 7 skipped, 0 failed) on feat/workspace-shell-polish at 045a7b5.</t>
  </si>
  <si>
    <t>API source: apps/api/src/app.test.ts:132
Parameterized case: wrong parent section
Passed on 31 October 2026 in the local run of 387 tests (380 passed, 7 skipped, 0 failed) on feat/workspace-shell-polish at 045a7b5.</t>
  </si>
  <si>
    <t>API source: apps/api/src/app.test.ts:151
Parameterized case: x\n
Passed on 31 October 2026 in the local run of 387 tests (380 passed, 7 skipped, 0 failed) on feat/workspace-shell-polish at 045a7b5.</t>
  </si>
  <si>
    <t>API source: apps/api/src/app.test.ts:163
Passed on 31 October 2026 in the local run of 387 tests (380 passed, 7 skipped, 0 failed) on feat/workspace-shell-polish at 045a7b5.</t>
  </si>
  <si>
    <t>API source: apps/api/src/app.test.ts:187
Passed on 31 October 2026 in the local run of 387 tests (380 passed, 7 skipped, 0 failed) on feat/workspace-shell-polish at 045a7b5.</t>
  </si>
  <si>
    <t>API source: apps/api/src/app.test.ts:216
Passed on 31 October 2026 in the local run of 387 tests (380 passed, 7 skipped, 0 failed) on feat/workspace-shell-polish at 045a7b5.</t>
  </si>
  <si>
    <t>API source: apps/api/src/app.test.ts:242
Passed on 31 October 2026 in the local run of 387 tests (380 passed, 7 skipped, 0 failed) on feat/workspace-shell-polish at 045a7b5.</t>
  </si>
  <si>
    <t>API source: apps/api/src/app.test.ts:301
Passed on 31 October 2026 in the local run of 387 tests (380 passed, 7 skipped, 0 failed) on feat/workspace-shell-polish at 045a7b5.</t>
  </si>
  <si>
    <t>API source: apps/api/src/app.test.ts:331
Passed on 31 October 2026 in the local run of 387 tests (380 passed, 7 skipped, 0 failed) on feat/workspace-shell-polish at 045a7b5.</t>
  </si>
  <si>
    <t>API source: apps/api/src/app.test.ts:346
Passed on 31 October 2026 in the local run of 387 tests (380 passed, 7 skipped, 0 failed) on feat/workspace-shell-polish at 045a7b5.</t>
  </si>
  <si>
    <t>API source: apps/api/src/app.test.ts:410
Passed on 31 October 2026 in the local run of 387 tests (380 passed, 7 skipped, 0 failed) on feat/workspace-shell-polish at 045a7b5.</t>
  </si>
  <si>
    <t>API source: apps/api/src/app.test.ts:419
Passed on 31 October 2026 in the local run of 387 tests (380 passed, 7 skipped, 0 failed) on feat/workspace-shell-polish at 045a7b5.</t>
  </si>
  <si>
    <t>API source: apps/api/src/app.test.ts:444
Passed on 31 October 2026 in the local run of 387 tests (380 passed, 7 skipped, 0 failed) on feat/workspace-shell-polish at 045a7b5.</t>
  </si>
  <si>
    <t>API source: apps/api/src/app.test.ts:453
Passed on 31 October 2026 in the local run of 387 tests (380 passed, 7 skipped, 0 failed) on feat/workspace-shell-polish at 045a7b5.</t>
  </si>
  <si>
    <t>API source: apps/api/src/app.test.ts:498
Passed on 31 October 2026 in the local run of 387 tests (380 passed, 7 skipped, 0 failed) on feat/workspace-shell-polish at 045a7b5.</t>
  </si>
  <si>
    <t>API source: apps/api/src/app.test.ts:514
Passed on 31 October 2026 in the local run of 387 tests (380 passed, 7 skipped, 0 failed) on feat/workspace-shell-polish at 045a7b5.</t>
  </si>
  <si>
    <t>API source: apps/api/src/app.test.ts:541
Passed on 31 October 2026 in the local run of 387 tests (380 passed, 7 skipped, 0 failed) on feat/workspace-shell-polish at 045a7b5.</t>
  </si>
  <si>
    <t>API source: apps/api/src/app.test.ts:562
Passed on 31 October 2026 in the local run of 387 tests (380 passed, 7 skipped, 0 failed) on feat/workspace-shell-polish at 045a7b5.</t>
  </si>
  <si>
    <t>API source: apps/api/src/app.test.ts:579
Passed on 31 October 2026 in the local run of 387 tests (380 passed, 7 skipped, 0 failed) on feat/workspace-shell-polish at 045a7b5.</t>
  </si>
  <si>
    <t>API source: apps/api/src/app.test.ts:594
Passed on 31 October 2026 in the local run of 387 tests (380 passed, 7 skipped, 0 failed) on feat/workspace-shell-polish at 045a7b5.</t>
  </si>
  <si>
    <t>API source: apps/api/src/app.test.ts:610
Passed on 31 October 2026 in the local run of 387 tests (380 passed, 7 skipped, 0 failed) on feat/workspace-shell-polish at 045a7b5.</t>
  </si>
  <si>
    <t>API source: apps/api/src/app.test.ts:634
Passed on 31 October 2026 in the local run of 387 tests (380 passed, 7 skipped, 0 failed) on feat/workspace-shell-polish at 045a7b5.</t>
  </si>
  <si>
    <t>API source: apps/api/src/app.test.ts:658
Passed on 31 October 2026 in the local run of 387 tests (380 passed, 7 skipped, 0 failed) on feat/workspace-shell-polish at 045a7b5.</t>
  </si>
  <si>
    <t>API source: apps/api/src/app.test.ts:668
Passed on 31 October 2026 in the local run of 387 tests (380 passed, 7 skipped, 0 failed) on feat/workspace-shell-polish at 045a7b5.</t>
  </si>
  <si>
    <t>API source: apps/api/src/app.test.ts:680
Passed on 31 October 2026 in the local run of 387 tests (380 passed, 7 skipped, 0 failed) on feat/workspace-shell-polish at 045a7b5.</t>
  </si>
  <si>
    <t>API source: apps/api/src/app.test.ts:690
Passed on 31 October 2026 in the local run of 387 tests (380 passed, 7 skipped, 0 failed) on feat/workspace-shell-polish at 045a7b5.</t>
  </si>
  <si>
    <t>API source: apps/api/src/app.test.ts:715
Passed on 31 October 2026 in the local run of 387 tests (380 passed, 7 skipped, 0 failed) on feat/workspace-shell-polish at 045a7b5.</t>
  </si>
  <si>
    <t>API source: apps/api/src/app.test.ts:745
Passed on 31 October 2026 in the local run of 387 tests (380 passed, 7 skipped, 0 failed) on feat/workspace-shell-polish at 045a7b5.</t>
  </si>
  <si>
    <t>API source: apps/api/src/app.test.ts:760
Passed on 31 October 2026 in the local run of 387 tests (380 passed, 7 skipped, 0 failed) on feat/workspace-shell-polish at 045a7b5.</t>
  </si>
  <si>
    <t>API source: apps/api/src/app.test.ts:776
Passed on 31 October 2026 in the local run of 387 tests (380 passed, 7 skipped, 0 failed) on feat/workspace-shell-polish at 045a7b5.</t>
  </si>
  <si>
    <t>API source: apps/api/src/app.test.ts:800
Passed on 31 October 2026 in the local run of 387 tests (380 passed, 7 skipped, 0 failed) on feat/workspace-shell-polish at 045a7b5.</t>
  </si>
  <si>
    <t>API source: apps/api/src/app.test.ts:820
Passed on 31 October 2026 in the local run of 387 tests (380 passed, 7 skipped, 0 failed) on feat/workspace-shell-polish at 045a7b5.</t>
  </si>
  <si>
    <t>API source: apps/api/src/app.test.ts:835
Passed on 31 October 2026 in the local run of 387 tests (380 passed, 7 skipped, 0 failed) on feat/workspace-shell-polish at 045a7b5.</t>
  </si>
  <si>
    <t>API source: apps/api/src/app.test.ts:885
Passed on 31 October 2026 in the local run of 387 tests (380 passed, 7 skipped, 0 failed) on feat/workspace-shell-polish at 045a7b5.</t>
  </si>
  <si>
    <t>API source: apps/api/src/app.test.ts:897
Passed on 31 October 2026 in the local run of 387 tests (380 passed, 7 skipped, 0 failed) on feat/workspace-shell-polish at 045a7b5.</t>
  </si>
  <si>
    <t>API source: apps/api/src/app.test.ts:911
Passed on 31 October 2026 in the local run of 387 tests (380 passed, 7 skipped, 0 failed) on feat/workspace-shell-polish at 045a7b5.</t>
  </si>
  <si>
    <t>API source: apps/api/src/app.test.ts:923
Passed on 31 October 2026 in the local run of 387 tests (380 passed, 7 skipped, 0 failed) on feat/workspace-shell-polish at 045a7b5.</t>
  </si>
  <si>
    <t>API source: apps/api/src/app.test.ts:943
Passed on 31 October 2026 in the local run of 387 tests (380 passed, 7 skipped, 0 failed) on feat/workspace-shell-polish at 045a7b5.</t>
  </si>
  <si>
    <t>API source: apps/api/src/app.test.ts:989
Passed on 31 October 2026 in the local run of 387 tests (380 passed, 7 skipped, 0 failed) on feat/workspace-shell-polish at 045a7b5.</t>
  </si>
  <si>
    <t>API source: apps/api/src/app.test.ts:1033
Passed on 31 October 2026 in the local run of 387 tests (380 passed, 7 skipped, 0 failed) on feat/workspace-shell-polish at 045a7b5.</t>
  </si>
  <si>
    <t>API source: apps/api/src/auth/local-flow1-test.test.ts:15
Passed on 31 October 2026 in the local run of 387 tests (380 passed, 7 skipped, 0 failed) on feat/workspace-shell-polish at 045a7b5.</t>
  </si>
  <si>
    <t>API source: apps/api/src/auth/local-flow1-test.test.ts:21
Parameterized case: configured Supabase
Passed on 31 October 2026 in the local run of 387 tests (380 passed, 7 skipped, 0 failed) on feat/workspace-shell-polish at 045a7b5.</t>
  </si>
  <si>
    <t>API source: apps/api/src/auth/local-flow1-test.test.ts:21
Parameterized case: Coolify database
Passed on 31 October 2026 in the local run of 387 tests (380 passed, 7 skipped, 0 failed) on feat/workspace-shell-polish at 045a7b5.</t>
  </si>
  <si>
    <t>API source: apps/api/src/auth/local-flow1-test.test.ts:21
Parameterized case: local development database
Passed on 31 October 2026 in the local run of 387 tests (380 passed, 7 skipped, 0 failed) on feat/workspace-shell-polish at 045a7b5.</t>
  </si>
  <si>
    <t>API source: apps/api/src/auth/local-flow1-test.test.ts:21
Parameterized case: network API bind
Passed on 31 October 2026 in the local run of 387 tests (380 passed, 7 skipped, 0 failed) on feat/workspace-shell-polish at 045a7b5.</t>
  </si>
  <si>
    <t>API source: apps/api/src/auth/local-flow1-test.test.ts:21
Parameterized case: production mode
Passed on 31 October 2026 in the local run of 387 tests (380 passed, 7 skipped, 0 failed) on feat/workspace-shell-polish at 045a7b5.</t>
  </si>
  <si>
    <t>API source: apps/api/src/auth/local-flow1-test.test.ts:33
Passed on 31 October 2026 in the local run of 387 tests (380 passed, 7 skipped, 0 failed) on feat/workspace-shell-polish at 045a7b5.</t>
  </si>
  <si>
    <t>API source: apps/api/src/auth/local-flow1-test.test.ts:44
Passed on 31 October 2026 in the local run of 387 tests (380 passed, 7 skipped, 0 failed) on feat/workspace-shell-polish at 045a7b5.</t>
  </si>
  <si>
    <t>API source: apps/api/src/auth/local-flow1-test.test.ts:59
Passed on 31 October 2026 in the local run of 387 tests (380 passed, 7 skipped, 0 failed) on feat/workspace-shell-polish at 045a7b5.</t>
  </si>
  <si>
    <t>API source: apps/api/src/auth/local-flow1-test.test.ts:64
Parameterized case: non-development runtime
Passed on 31 October 2026 in the local run of 387 tests (380 passed, 7 skipped, 0 failed) on feat/workspace-shell-polish at 045a7b5.</t>
  </si>
  <si>
    <t>API source: apps/api/src/auth/local-flow1-test.test.ts:64
Parameterized case: production
Passed on 31 October 2026 in the local run of 387 tests (380 passed, 7 skipped, 0 failed) on feat/workspace-shell-polish at 045a7b5.</t>
  </si>
  <si>
    <t>API source: apps/api/src/auth/local-flow1-test.test.ts:64
Parameterized case: Supabase enabled
Passed on 31 October 2026 in the local run of 387 tests (380 passed, 7 skipped, 0 failed) on feat/workspace-shell-polish at 045a7b5.</t>
  </si>
  <si>
    <t>API source: apps/api/src/auth/local-flow1-test.test.ts:64
Parameterized case: wrong database host
Passed on 31 October 2026 in the local run of 387 tests (380 passed, 7 skipped, 0 failed) on feat/workspace-shell-polish at 045a7b5.</t>
  </si>
  <si>
    <t>API source: apps/api/src/auth/local-flow1-test.test.ts:64
Parameterized case: wrong database name
Passed on 31 October 2026 in the local run of 387 tests (380 passed, 7 skipped, 0 failed) on feat/workspace-shell-polish at 045a7b5.</t>
  </si>
  <si>
    <t>API source: apps/api/src/auth/provider.integration.test.ts:11
Skipped in the same 31 October 2026 run of 387 tests. The live Supabase auth variables were unset, so this check did not run. Not a failure.</t>
  </si>
  <si>
    <t>API source: apps/api/src/auth/provider.test.ts:14
Passed on 31 October 2026 in the local run of 387 tests (380 passed, 7 skipped, 0 failed) on feat/workspace-shell-polish at 045a7b5.</t>
  </si>
  <si>
    <t>API source: apps/api/src/auth/provider.test.ts:30
Passed on 31 October 2026 in the local run of 387 tests (380 passed, 7 skipped, 0 failed) on feat/workspace-shell-polish at 045a7b5.</t>
  </si>
  <si>
    <t>API source: apps/api/src/auth/provider.test.ts:49
Passed on 31 October 2026 in the local run of 387 tests (380 passed, 7 skipped, 0 failed) on feat/workspace-shell-polish at 045a7b5.</t>
  </si>
  <si>
    <t>API source: apps/api/src/auth/provider.test.ts:73
Parameterized case: http://auth.example.test
Passed on 31 October 2026 in the local run of 387 tests (380 passed, 7 skipped, 0 failed) on feat/workspace-shell-polish at 045a7b5.</t>
  </si>
  <si>
    <t>API source: apps/api/src/auth/provider.test.ts:73
Parameterized case: https://auth.example.test?query=1
Passed on 31 October 2026 in the local run of 387 tests (380 passed, 7 skipped, 0 failed) on feat/workspace-shell-polish at 045a7b5.</t>
  </si>
  <si>
    <t>API source: apps/api/src/auth/provider.test.ts:73
Parameterized case: https://auth.example.test/path
Passed on 31 October 2026 in the local run of 387 tests (380 passed, 7 skipped, 0 failed) on feat/workspace-shell-polish at 045a7b5.</t>
  </si>
  <si>
    <t>API source: apps/api/src/auth/provider.test.ts:73
Parameterized case: https://auth.example.test#fragment
Passed on 31 October 2026 in the local run of 387 tests (380 passed, 7 skipped, 0 failed) on feat/workspace-shell-polish at 045a7b5.</t>
  </si>
  <si>
    <t>API source: apps/api/src/auth/provider.test.ts:73
Parameterized case: https://user:pass@auth.example.test
Passed on 31 October 2026 in the local run of 387 tests (380 passed, 7 skipped, 0 failed) on feat/workspace-shell-polish at 045a7b5.</t>
  </si>
  <si>
    <t>API source: apps/api/src/email/smtp-mailer.test.ts:9
Passed on 31 October 2026 in the local run of 387 tests (380 passed, 7 skipped, 0 failed) on feat/workspace-shell-polish at 045a7b5.</t>
  </si>
  <si>
    <t>API source: apps/api/src/email/smtp-mailer.test.ts:13
Passed on 31 October 2026 in the local run of 387 tests (380 passed, 7 skipped, 0 failed) on feat/workspace-shell-polish at 045a7b5.</t>
  </si>
  <si>
    <t>API source: apps/api/src/email/smtp-mailer.test.ts:17
Passed on 31 October 2026 in the local run of 387 tests (380 passed, 7 skipped, 0 failed) on feat/workspace-shell-polish at 045a7b5.</t>
  </si>
  <si>
    <t>API source: apps/api/src/email/smtp-mailer.test.ts:32
Passed on 31 October 2026 in the local run of 387 tests (380 passed, 7 skipped, 0 failed) on feat/workspace-shell-polish at 045a7b5.</t>
  </si>
  <si>
    <t>API source: apps/api/src/email/smtp-mailer.test.ts:50
Passed on 31 October 2026 in the local run of 387 tests (380 passed, 7 skipped, 0 failed) on feat/workspace-shell-polish at 045a7b5.</t>
  </si>
  <si>
    <t>API source: apps/api/src/email/smtp-mailer.test.ts:66
Passed on 31 October 2026 in the local run of 387 tests (380 passed, 7 skipped, 0 failed) on feat/workspace-shell-polish at 045a7b5.</t>
  </si>
  <si>
    <t>API source: apps/api/src/answers/citation-page.test.ts:5
Passed on 31 October 2026 in the local run of 387 tests (380 passed, 7 skipped, 0 failed) on feat/workspace-shell-polish at 045a7b5.</t>
  </si>
  <si>
    <t>API source: apps/api/src/answers/citation-page.test.ts:11
Passed on 31 October 2026 in the local run of 387 tests (380 passed, 7 skipped, 0 failed) on feat/workspace-shell-polish at 045a7b5.</t>
  </si>
  <si>
    <t>API source: apps/api/src/answers/contracts.test.ts:31
Passed on 31 October 2026 in the local run of 387 tests (380 passed, 7 skipped, 0 failed) on feat/workspace-shell-polish at 045a7b5.</t>
  </si>
  <si>
    <t>API source: apps/api/src/answers/contracts.test.ts:35
Passed on 31 October 2026 in the local run of 387 tests (380 passed, 7 skipped, 0 failed) on feat/workspace-shell-polish at 045a7b5.</t>
  </si>
  <si>
    <t>API source: apps/api/src/answers/contracts.test.ts:40
Passed on 31 October 2026 in the local run of 387 tests (380 passed, 7 skipped, 0 failed) on feat/workspace-shell-polish at 045a7b5.</t>
  </si>
  <si>
    <t>API source: apps/api/src/knowledge/policy.test.ts:17
Passed on 31 October 2026 in the local run of 387 tests (380 passed, 7 skipped, 0 failed) on feat/workspace-shell-polish at 045a7b5.</t>
  </si>
  <si>
    <t>API source: apps/api/src/knowledge/policy.test.ts:25
Passed on 31 October 2026 in the local run of 387 tests (380 passed, 7 skipped, 0 failed) on feat/workspace-shell-polish at 045a7b5.</t>
  </si>
  <si>
    <t>API source: apps/api/src/knowledge/policy.test.ts:31
Passed on 31 October 2026 in the local run of 387 tests (380 passed, 7 skipped, 0 failed) on feat/workspace-shell-polish at 045a7b5.</t>
  </si>
  <si>
    <t>API source: apps/api/src/knowledge/policy.test.ts:48
Passed on 31 October 2026 in the local run of 387 tests (380 passed, 7 skipped, 0 failed) on feat/workspace-shell-polish at 045a7b5.</t>
  </si>
  <si>
    <t>API source: apps/api/src/knowledge/policy.test.ts:52
Passed on 31 October 2026 in the local run of 387 tests (380 passed, 7 skipped, 0 failed) on feat/workspace-shell-polish at 045a7b5.</t>
  </si>
  <si>
    <t>API source: apps/api/src/knowledge/policy.test.ts:58
Passed on 31 October 2026 in the local run of 387 tests (380 passed, 7 skipped, 0 failed) on feat/workspace-shell-polish at 045a7b5.</t>
  </si>
  <si>
    <t>API source: apps/api/src/knowledge/policy.test.ts:70
Passed on 31 October 2026 in the local run of 387 tests (380 passed, 7 skipped, 0 failed) on feat/workspace-shell-polish at 045a7b5.</t>
  </si>
  <si>
    <t>API source: apps/api/src/knowledge/policy.test.ts:81
Passed on 31 October 2026 in the local run of 387 tests (380 passed, 7 skipped, 0 failed) on feat/workspace-shell-polish at 045a7b5.</t>
  </si>
  <si>
    <t>API source: apps/api/src/knowledge/policy.test.ts:90
Passed on 31 October 2026 in the local run of 387 tests (380 passed, 7 skipped, 0 failed) on feat/workspace-shell-polish at 045a7b5.</t>
  </si>
  <si>
    <t>API source: apps/api/src/knowledge/policy.test.ts:107
Passed on 31 October 2026 in the local run of 387 tests (380 passed, 7 skipped, 0 failed) on feat/workspace-shell-polish at 045a7b5.</t>
  </si>
  <si>
    <t>API source: apps/api/src/knowledge/policy.test.ts:128
Passed on 31 October 2026 in the local run of 387 tests (380 passed, 7 skipped, 0 failed) on feat/workspace-shell-polish at 045a7b5.</t>
  </si>
  <si>
    <t>API source: apps/api/src/knowledge/policy.test.ts:132
Passed on 31 October 2026 in the local run of 387 tests (380 passed, 7 skipped, 0 failed) on feat/workspace-shell-polish at 045a7b5.</t>
  </si>
  <si>
    <t>API source: apps/api/src/knowledge/policy.test.ts:138
Passed on 31 October 2026 in the local run of 387 tests (380 passed, 7 skipped, 0 failed) on feat/workspace-shell-polish at 045a7b5.</t>
  </si>
  <si>
    <t>API source: apps/api/src/knowledge/policy.test.ts:144
Passed on 31 October 2026 in the local run of 387 tests (380 passed, 7 skipped, 0 failed) on feat/workspace-shell-polish at 045a7b5.</t>
  </si>
  <si>
    <t>API source: apps/api/src/knowledge/policy.test.ts:154
Passed on 31 October 2026 in the local run of 387 tests (380 passed, 7 skipped, 0 failed) on feat/workspace-shell-polish at 045a7b5.</t>
  </si>
  <si>
    <t>API source: apps/api/src/knowledge/policy.test.ts:163
Passed on 31 October 2026 in the local run of 387 tests (380 passed, 7 skipped, 0 failed) on feat/workspace-shell-polish at 045a7b5.</t>
  </si>
  <si>
    <t>API source: apps/api/src/knowledge/policy.test.ts:172
Passed on 31 October 2026 in the local run of 387 tests (380 passed, 7 skipped, 0 failed) on feat/workspace-shell-polish at 045a7b5.</t>
  </si>
  <si>
    <t>API source: apps/api/src/knowledge/review-decision.test.ts:28
Passed on 31 October 2026 in the local run of 387 tests (380 passed, 7 skipped, 0 failed) on feat/workspace-shell-polish at 045a7b5.</t>
  </si>
  <si>
    <t>API source: apps/api/src/knowledge/review-decision.test.ts:35
Passed on 31 October 2026 in the local run of 387 tests (380 passed, 7 skipped, 0 failed) on feat/workspace-shell-polish at 045a7b5.</t>
  </si>
  <si>
    <t>API source: apps/api/src/knowledge/review-decision.test.ts:42
Passed on 31 October 2026 in the local run of 387 tests (380 passed, 7 skipped, 0 failed) on feat/workspace-shell-polish at 045a7b5.</t>
  </si>
  <si>
    <t>API source: apps/api/src/knowledge/review-decision.test.ts:55
Passed on 31 October 2026 in the local run of 387 tests (380 passed, 7 skipped, 0 failed) on feat/workspace-shell-polish at 045a7b5.</t>
  </si>
  <si>
    <t>API source: apps/api/src/knowledge/review-decision.test.ts:62
Passed on 31 October 2026 in the local run of 387 tests (380 passed, 7 skipped, 0 failed) on feat/workspace-shell-polish at 045a7b5.</t>
  </si>
  <si>
    <t>API source: apps/api/src/knowledge/review-decision.test.ts:70
Passed on 31 October 2026 in the local run of 387 tests (380 passed, 7 skipped, 0 failed) on feat/workspace-shell-polish at 045a7b5.</t>
  </si>
  <si>
    <t>API source: apps/api/src/knowledge/review-queue.test.ts:25
Passed on 31 October 2026 in the local run of 387 tests (380 passed, 7 skipped, 0 failed) on feat/workspace-shell-polish at 045a7b5.</t>
  </si>
  <si>
    <t>API source: apps/api/src/knowledge/review-queue.test.ts:44
Passed on 31 October 2026 in the local run of 387 tests (380 passed, 7 skipped, 0 failed) on feat/workspace-shell-polish at 045a7b5.</t>
  </si>
  <si>
    <t>API source: apps/api/src/knowledge/review-queue.test.ts:51
Passed on 31 October 2026 in the local run of 387 tests (380 passed, 7 skipped, 0 failed) on feat/workspace-shell-polish at 045a7b5.</t>
  </si>
  <si>
    <t>API source: apps/api/src/knowledge/review-queue.test.ts:59
Passed on 31 October 2026 in the local run of 387 tests (380 passed, 7 skipped, 0 failed) on feat/workspace-shell-polish at 045a7b5.</t>
  </si>
  <si>
    <t>API source: apps/api/src/knowledge/review-queue.test.ts:71
Passed on 31 October 2026 in the local run of 387 tests (380 passed, 7 skipped, 0 failed) on feat/workspace-shell-polish at 045a7b5.</t>
  </si>
  <si>
    <t>API source: apps/api/src/knowledge/review-queue.test.ts:82
Passed on 31 October 2026 in the local run of 387 tests (380 passed, 7 skipped, 0 failed) on feat/workspace-shell-polish at 045a7b5.</t>
  </si>
  <si>
    <t>API source: apps/api/src/knowledge/review-queue.test.ts:92
Passed on 31 October 2026 in the local run of 387 tests (380 passed, 7 skipped, 0 failed) on feat/workspace-shell-polish at 045a7b5.</t>
  </si>
  <si>
    <t>API source: apps/api/src/knowledge/review-queue.test.ts:99
Passed on 31 October 2026 in the local run of 387 tests (380 passed, 7 skipped, 0 failed) on feat/workspace-shell-polish at 045a7b5.</t>
  </si>
  <si>
    <t>API source: apps/api/src/db/migration-command.test.ts:17
Passed on 31 October 2026 in the local run of 387 tests (380 passed, 7 skipped, 0 failed) on feat/workspace-shell-polish at 045a7b5.</t>
  </si>
  <si>
    <t>API source: apps/api/src/db/migration-command.test.ts:24
Passed on 31 October 2026 in the local run of 387 tests (380 passed, 7 skipped, 0 failed) on feat/workspace-shell-polish at 045a7b5.</t>
  </si>
  <si>
    <t>API source: apps/api/src/db/migration-command.test.ts:32
Passed on 31 October 2026 in the local run of 387 tests (380 passed, 7 skipped, 0 failed) on feat/workspace-shell-polish at 045a7b5.</t>
  </si>
  <si>
    <t>API source: apps/api/src/db/migration-command.test.ts:39
Passed on 31 October 2026 in the local run of 387 tests (380 passed, 7 skipped, 0 failed) on feat/workspace-shell-polish at 045a7b5.</t>
  </si>
  <si>
    <t>API source: apps/api/src/db/migration-command.test.ts:46
Passed on 31 October 2026 in the local run of 387 tests (380 passed, 7 skipped, 0 failed) on feat/workspace-shell-polish at 045a7b5.</t>
  </si>
  <si>
    <t>API source: apps/api/src/db/migration-command.test.ts:58
Passed on 31 October 2026 in the local run of 387 tests (380 passed, 7 skipped, 0 failed) on feat/workspace-shell-polish at 045a7b5.</t>
  </si>
  <si>
    <t>API source: apps/api/src/db/migration-plan.test.ts:28
Passed on 31 October 2026 in the local run of 387 tests (380 passed, 7 skipped, 0 failed) on feat/workspace-shell-polish at 045a7b5.</t>
  </si>
  <si>
    <t>API source: apps/api/src/db/migration-plan.test.ts:36
Passed on 31 October 2026 in the local run of 387 tests (380 passed, 7 skipped, 0 failed) on feat/workspace-shell-polish at 045a7b5.</t>
  </si>
  <si>
    <t>API source: apps/api/src/db/migration-plan.test.ts:42
Passed on 31 October 2026 in the local run of 387 tests (380 passed, 7 skipped, 0 failed) on feat/workspace-shell-polish at 045a7b5.</t>
  </si>
  <si>
    <t>API source: apps/api/src/db/migration-plan.test.ts:52
Passed on 31 October 2026 in the local run of 387 tests (380 passed, 7 skipped, 0 failed) on feat/workspace-shell-polish at 045a7b5.</t>
  </si>
  <si>
    <t>API source: apps/api/src/db/migration-plan.test.ts:57
Passed on 31 October 2026 in the local run of 387 tests (380 passed, 7 skipped, 0 failed) on feat/workspace-shell-polish at 045a7b5.</t>
  </si>
  <si>
    <t>API source: apps/api/src/db/migration-plan.test.ts:62
Passed on 31 October 2026 in the local run of 387 tests (380 passed, 7 skipped, 0 failed) on feat/workspace-shell-polish at 045a7b5.</t>
  </si>
  <si>
    <t>API source: apps/api/src/db/migration-plan.test.ts:71
Passed on 31 October 2026 in the local run of 387 tests (380 passed, 7 skipped, 0 failed) on feat/workspace-shell-polish at 045a7b5.</t>
  </si>
  <si>
    <t>API source: apps/api/src/db/migration-plan.test.ts:80
Passed on 31 October 2026 in the local run of 387 tests (380 passed, 7 skipped, 0 failed) on feat/workspace-shell-polish at 045a7b5.</t>
  </si>
  <si>
    <t>API source: apps/api/src/db/migration-plan.test.ts:92
Passed on 31 October 2026 in the local run of 387 tests (380 passed, 7 skipped, 0 failed) on feat/workspace-shell-polish at 045a7b5.</t>
  </si>
  <si>
    <t>API source: apps/api/src/db/migration-plan.test.ts:100
Passed on 31 October 2026 in the local run of 387 tests (380 passed, 7 skipped, 0 failed) on feat/workspace-shell-polish at 045a7b5.</t>
  </si>
  <si>
    <t>API source: apps/api/src/db/repository.integration.test.ts:197
Skipped in the same 31 October 2026 run of 387 tests. The isolated arden_test_* PostgreSQL database was not configured, so this check did not run. Not a failure.</t>
  </si>
  <si>
    <t>API source: apps/api/src/db/repository.integration.test.ts:205
Skipped in the same 31 October 2026 run of 387 tests. The isolated arden_test_* PostgreSQL database was not configured, so this check did not run. Not a failure.</t>
  </si>
  <si>
    <t>API source: apps/api/src/db/repository.integration.test.ts:254
Skipped in the same 31 October 2026 run of 387 tests. The isolated arden_test_* PostgreSQL database was not configured, so this check did not run. Not a failure.</t>
  </si>
  <si>
    <t>API source: apps/api/src/db/repository.integration.test.ts:308
Skipped in the same 31 October 2026 run of 387 tests. The isolated arden_test_* PostgreSQL database was not configured, so this check did not run. Not a failure.</t>
  </si>
  <si>
    <t>API source: apps/api/src/db/repository.integration.test.ts:350
Skipped in the same 31 October 2026 run of 387 tests. The isolated arden_test_* PostgreSQL database was not configured, so this check did not run. Not a failure.</t>
  </si>
  <si>
    <t>API source: apps/api/src/db/repository.integration.test.ts:473
Skipped in the same 31 October 2026 run of 387 tests. The isolated arden_test_* PostgreSQL database was not configured, so this check did not run. Not a failure.</t>
  </si>
  <si>
    <t>API source: apps/api/src/indexing/contracts.test.ts:50
Passed on 31 October 2026 in the local run of 387 tests (380 passed, 7 skipped, 0 failed) on feat/workspace-shell-polish at 045a7b5.</t>
  </si>
  <si>
    <t>API source: apps/api/src/indexing/contracts.test.ts:70
Passed on 31 October 2026 in the local run of 387 tests (380 passed, 7 skipped, 0 failed) on feat/workspace-shell-polish at 045a7b5.</t>
  </si>
  <si>
    <t>API source: apps/api/src/indexing/contracts.test.ts:78
Passed on 31 October 2026 in the local run of 387 tests (380 passed, 7 skipped, 0 failed) on feat/workspace-shell-polish at 045a7b5.</t>
  </si>
  <si>
    <t>API source: apps/api/src/indexing/worker.test.ts:68
Passed on 31 October 2026 in the local run of 387 tests (380 passed, 7 skipped, 0 failed) on feat/workspace-shell-polish at 045a7b5.</t>
  </si>
  <si>
    <t>API source: apps/api/src/indexing/worker.test.ts:76
Passed on 31 October 2026 in the local run of 387 tests (380 passed, 7 skipped, 0 failed) on feat/workspace-shell-polish at 045a7b5.</t>
  </si>
  <si>
    <t>API source: apps/api/src/indexing/worker.test.ts:87
Passed on 31 October 2026 in the local run of 387 tests (380 passed, 7 skipped, 0 failed) on feat/workspace-shell-polish at 045a7b5.</t>
  </si>
  <si>
    <t>API source: apps/api/src/indexing/worker.test.ts:104
Passed on 31 October 2026 in the local run of 387 tests (380 passed, 7 skipped, 0 failed) on feat/workspace-shell-polish at 045a7b5.</t>
  </si>
  <si>
    <t>API source: apps/api/src/indexing/worker.test.ts:126
Passed on 31 October 2026 in the local run of 387 tests (380 passed, 7 skipped, 0 failed) on feat/workspace-shell-polish at 045a7b5.</t>
  </si>
  <si>
    <t>API source: apps/api/src/private-notes/content-storage.test.ts:18
Passed on 31 October 2026 in the local run of 387 tests (380 passed, 7 skipped, 0 failed) on feat/workspace-shell-polish at 045a7b5.</t>
  </si>
  <si>
    <t>API source: apps/api/src/private-notes/content-storage.test.ts:25
Passed on 31 October 2026 in the local run of 387 tests (380 passed, 7 skipped, 0 failed) on feat/workspace-shell-polish at 045a7b5.</t>
  </si>
  <si>
    <t>API source: apps/api/src/private-notes/content-storage.test.ts:32
Passed on 31 October 2026 in the local run of 387 tests (380 passed, 7 skipped, 0 failed) on feat/workspace-shell-polish at 045a7b5.</t>
  </si>
  <si>
    <t>Desktop source: apps/desktop/src/main/apiRequestPolicy.test.ts:11
Passed on 31 October 2026 in the local run of 387 tests (380 passed, 7 skipped, 0 failed) on feat/workspace-shell-polish at 045a7b5.</t>
  </si>
  <si>
    <t>Desktop source: apps/desktop/src/main/apiRequestPolicy.test.ts:26
Passed on 31 October 2026 in the local run of 387 tests (380 passed, 7 skipped, 0 failed) on feat/workspace-shell-polish at 045a7b5.</t>
  </si>
  <si>
    <t>Desktop source: apps/desktop/src/main/apiRequestPolicy.test.ts:35
Passed on 31 October 2026 in the local run of 387 tests (380 passed, 7 skipped, 0 failed) on feat/workspace-shell-polish at 045a7b5.</t>
  </si>
  <si>
    <t>Desktop source: apps/desktop/src/main/apiRequestPolicy.test.ts:49
Passed on 31 October 2026 in the local run of 387 tests (380 passed, 7 skipped, 0 failed) on feat/workspace-shell-polish at 045a7b5.</t>
  </si>
  <si>
    <t>Desktop source: apps/desktop/src/main/apiRequestPolicy.test.ts:59
Passed on 31 October 2026 in the local run of 387 tests (380 passed, 7 skipped, 0 failed) on feat/workspace-shell-polish at 045a7b5.</t>
  </si>
  <si>
    <t>Desktop source: apps/desktop/src/main/apiRequestPolicy.test.ts:70
Passed on 31 October 2026 in the local run of 387 tests (380 passed, 7 skipped, 0 failed) on feat/workspace-shell-polish at 045a7b5.</t>
  </si>
  <si>
    <t>Desktop source: apps/desktop/src/main/apiRequestPolicy.test.ts:93
Passed on 31 October 2026 in the local run of 387 tests (380 passed, 7 skipped, 0 failed) on feat/workspace-shell-polish at 045a7b5.</t>
  </si>
  <si>
    <t>Domain source: packages/domain/src/semantic-document.test.ts:10
Passed on 31 October 2026 in the local run of 387 tests (380 passed, 7 skipped, 0 failed) on feat/workspace-shell-polish at 045a7b5.</t>
  </si>
  <si>
    <t>Domain source: packages/domain/src/semantic-document.test.ts:24
Passed on 31 October 2026 in the local run of 387 tests (380 passed, 7 skipped, 0 failed) on feat/workspace-shell-polish at 045a7b5.</t>
  </si>
  <si>
    <t>Domain source: packages/domain/src/semantic-document.test.ts:34
Passed on 31 October 2026 in the local run of 387 tests (380 passed, 7 skipped, 0 failed) on feat/workspace-shell-polish at 045a7b5.</t>
  </si>
  <si>
    <t>Domain source: packages/domain/src/semantic-document.test.ts:40
Passed on 31 October 2026 in the local run of 387 tests (380 passed, 7 skipped, 0 failed) on feat/workspace-shell-polish at 045a7b5.</t>
  </si>
  <si>
    <t>Domain source: packages/domain/src/semantic-document.test.ts:48
Passed on 31 October 2026 in the local run of 387 tests (380 passed, 7 skipped, 0 failed) on feat/workspace-shell-polish at 045a7b5.</t>
  </si>
  <si>
    <t>Remote workflow source: tools/remote/workflow.test.mjs:38
Passed on 31 October 2026 in the local run of 387 tests (380 passed, 7 skipped, 0 failed) on feat/workspace-shell-polish at 045a7b5.</t>
  </si>
  <si>
    <t>Remote workflow source: tools/remote/workflow.test.mjs:50
Passed on 31 October 2026 in the local run of 387 tests (380 passed, 7 skipped, 0 failed) on feat/workspace-shell-polish at 045a7b5.</t>
  </si>
  <si>
    <t>Remote workflow source: tools/remote/workflow.test.mjs:59
Expanded remote failure mode
Passed on 31 October 2026 in the local run of 387 tests (380 passed, 7 skipped, 0 failed) on feat/workspace-shell-polish at 045a7b5.</t>
  </si>
  <si>
    <t>Remote workflow source: tools/remote/workflow.test.mjs:73
Passed on 31 October 2026 in the local run of 387 tests (380 passed, 7 skipped, 0 failed) on feat/workspace-shell-polish at 045a7b5.</t>
  </si>
  <si>
    <t>Remote workflow source: tools/remote/workflow.test.mjs:82
Passed on 31 October 2026 in the local run of 387 tests (380 passed, 7 skipped, 0 failed) on feat/workspace-shell-polish at 045a7b5.</t>
  </si>
  <si>
    <t>Remote workflow source: tools/remote/workflow.test.mjs:90
Passed on 31 October 2026 in the local run of 387 tests (380 passed, 7 skipped, 0 failed) on feat/workspace-shell-polish at 045a7b5.</t>
  </si>
  <si>
    <t>Remote workflow source: tools/remote/workflow.test.mjs:98
Passed on 31 October 2026 in the local run of 387 tests (380 passed, 7 skipped, 0 failed) on feat/workspace-shell-polish at 045a7b5.</t>
  </si>
  <si>
    <t>Remote workflow source: tools/remote/workflow.test.mjs:107
Passed on 31 October 2026 in the local run of 387 tests (380 passed, 7 skipped, 0 failed) on feat/workspace-shell-polish at 045a7b5.</t>
  </si>
  <si>
    <t>Remote workflow source: tools/remote/workflow.test.mjs:115
Passed on 31 October 2026 in the local run of 387 tests (380 passed, 7 skipped, 0 failed) on feat/workspace-shell-polish at 045a7b5.</t>
  </si>
  <si>
    <t>Remote workflow source: tools/remote/workflow.test.mjs:132
Passed on 31 October 2026 in the local run of 387 tests (380 passed, 7 skipped, 0 failed) on feat/workspace-shell-polish at 045a7b5.</t>
  </si>
  <si>
    <t>Remote workflow source: tools/remote/workflow.test.mjs:162
Passed on 31 October 2026 in the local run of 387 tests (380 passed, 7 skipped, 0 failed) on feat/workspace-shell-polish at 045a7b5.</t>
  </si>
  <si>
    <t>Remote workflow source: tools/remote/workflow.test.mjs:175
Passed on 31 October 2026 in the local run of 387 tests (380 passed, 7 skipped, 0 failed) on feat/workspace-shell-polish at 045a7b5.</t>
  </si>
  <si>
    <t>Remote workflow source: tools/remote/workflow.test.mjs:185
Passed on 31 October 2026 in the local run of 387 tests (380 passed, 7 skipped, 0 failed) on feat/workspace-shell-polish at 045a7b5.</t>
  </si>
  <si>
    <t>Remote workflow source: tools/remote/workflow.test.mjs:198
Passed on 31 October 2026 in the local run of 387 tests (380 passed, 7 skipped, 0 failed) on feat/workspace-shell-polish at 045a7b5.</t>
  </si>
  <si>
    <t>Release/PR source: tools/pull-requests/conventions.test.mjs:13
Passed on 31 October 2026 in the local run of 387 tests (380 passed, 7 skipped, 0 failed) on feat/workspace-shell-polish at 045a7b5.</t>
  </si>
  <si>
    <t>Release/PR source: tools/pull-requests/conventions.test.mjs:19
Passed on 31 October 2026 in the local run of 387 tests (380 passed, 7 skipped, 0 failed) on feat/workspace-shell-polish at 045a7b5.</t>
  </si>
  <si>
    <t>Release/PR source: tools/pull-requests/conventions.test.mjs:28
Passed on 31 October 2026 in the local run of 387 tests (380 passed, 7 skipped, 0 failed) on feat/workspace-shell-polish at 045a7b5.</t>
  </si>
  <si>
    <t>Release/PR source: tools/pull-requests/conventions.test.mjs:37
Passed on 31 October 2026 in the local run of 387 tests (380 passed, 7 skipped, 0 failed) on feat/workspace-shell-polish at 045a7b5.</t>
  </si>
  <si>
    <t>Release/PR source: tools/pull-requests/conventions.test.mjs:43
Passed on 31 October 2026 in the local run of 387 tests (380 passed, 7 skipped, 0 failed) on feat/workspace-shell-polish at 045a7b5.</t>
  </si>
  <si>
    <t>Release/PR source: tools/pull-requests/conventions.test.mjs:52
Passed on 31 October 2026 in the local run of 387 tests (380 passed, 7 skipped, 0 failed) on feat/workspace-shell-polish at 045a7b5.</t>
  </si>
  <si>
    <t>Release/PR source: tools/pull-requests/conventions.test.mjs:60
Passed on 31 October 2026 in the local run of 387 tests (380 passed, 7 skipped, 0 failed) on feat/workspace-shell-polish at 045a7b5.</t>
  </si>
  <si>
    <t>Release/PR source: tools/pull-requests/conventions.test.mjs:66
Passed on 31 October 2026 in the local run of 387 tests (380 passed, 7 skipped, 0 failed) on feat/workspace-shell-polish at 045a7b5.</t>
  </si>
  <si>
    <t>Release/PR source: tools/pull-requests/conventions.test.mjs:72
Passed on 31 October 2026 in the local run of 387 tests (380 passed, 7 skipped, 0 failed) on feat/workspace-shell-polish at 045a7b5.</t>
  </si>
  <si>
    <t>Release/PR source: tools/pull-requests/conventions.test.mjs:84
Passed on 31 October 2026 in the local run of 387 tests (380 passed, 7 skipped, 0 failed) on feat/workspace-shell-polish at 045a7b5.</t>
  </si>
  <si>
    <t>Release/PR source: tools/releases/identity.test.mjs:9
Passed on 31 October 2026 in the local run of 387 tests (380 passed, 7 skipped, 0 failed) on feat/workspace-shell-polish at 045a7b5.</t>
  </si>
  <si>
    <t>Release/PR source: tools/releases/identity.test.mjs:10
Passed on 31 October 2026 in the local run of 387 tests (380 passed, 7 skipped, 0 failed) on feat/workspace-shell-polish at 045a7b5.</t>
  </si>
  <si>
    <t>Release/PR source: tools/releases/identity.test.mjs:17
Passed on 31 October 2026 in the local run of 387 tests (380 passed, 7 skipped, 0 failed) on feat/workspace-shell-polish at 045a7b5.</t>
  </si>
  <si>
    <t>Release/PR source: tools/releases/identity.test.mjs:27
Passed on 31 October 2026 in the local run of 387 tests (380 passed, 7 skipped, 0 failed) on feat/workspace-shell-polish at 045a7b5.</t>
  </si>
  <si>
    <t>Release/PR source: tools/releases/migration-inventory.test.mjs:59
Passed on 31 October 2026 in the local run of 387 tests (380 passed, 7 skipped, 0 failed) on feat/workspace-shell-polish at 045a7b5.</t>
  </si>
  <si>
    <t>Release/PR source: tools/releases/migration-inventory.test.mjs:64
Passed on 31 October 2026 in the local run of 387 tests (380 passed, 7 skipped, 0 failed) on feat/workspace-shell-polish at 045a7b5.</t>
  </si>
  <si>
    <t>Release/PR source: tools/releases/migration-inventory.test.mjs:78
Passed on 31 October 2026 in the local run of 387 tests (380 passed, 7 skipped, 0 failed) on feat/workspace-shell-polish at 045a7b5.</t>
  </si>
  <si>
    <t>Release/PR source: tools/releases/migration-inventory.test.mjs:88
Passed on 31 October 2026 in the local run of 387 tests (380 passed, 7 skipped, 0 failed) on feat/workspace-shell-polish at 045a7b5.</t>
  </si>
  <si>
    <t>Release/PR source: tools/releases/migration-inventory.test.mjs:104
Passed on 31 October 2026 in the local run of 387 tests (380 passed, 7 skipped, 0 failed) on feat/workspace-shell-polish at 045a7b5.</t>
  </si>
  <si>
    <t>Release/PR source: tools/releases/migration-inventory.test.mjs:114
Passed on 31 October 2026 in the local run of 387 tests (380 passed, 7 skipped, 0 failed) on feat/workspace-shell-polish at 045a7b5.</t>
  </si>
  <si>
    <t>Release/PR source: tools/releases/migration-inventory.test.mjs:125
Passed on 31 October 2026 in the local run of 387 tests (380 passed, 7 skipped, 0 failed) on feat/workspace-shell-polish at 045a7b5.</t>
  </si>
  <si>
    <t>Release/PR source: tools/releases/migration-inventory.test.mjs:139
Passed on 31 October 2026 in the local run of 387 tests (380 passed, 7 skipped, 0 failed) on feat/workspace-shell-polish at 045a7b5.</t>
  </si>
  <si>
    <t>Release/PR source: tools/releases/migration-inventory.test.mjs:147
Passed on 31 October 2026 in the local run of 387 tests (380 passed, 7 skipped, 0 failed) on feat/workspace-shell-polish at 045a7b5.</t>
  </si>
  <si>
    <t>Release/PR source: tools/releases/migration-inventory.test.mjs:153
Passed on 31 October 2026 in the local run of 387 tests (380 passed, 7 skipped, 0 failed) on feat/workspace-shell-polish at 045a7b5.</t>
  </si>
  <si>
    <t>Release/PR source: tools/releases/migration-inventory.test.mjs:162
Passed on 31 October 2026 in the local run of 387 tests (380 passed, 7 skipped, 0 failed) on feat/workspace-shell-polish at 045a7b5.</t>
  </si>
  <si>
    <t>Release/PR source: tools/releases/migration-inventory.test.mjs:177
Passed on 31 October 2026 in the local run of 387 tests (380 passed, 7 skipped, 0 failed) on feat/workspace-shell-polish at 045a7b5.</t>
  </si>
  <si>
    <t>Release/PR source: tools/releases/migration-inventory.test.mjs:193
Passed on 31 October 2026 in the local run of 387 tests (380 passed, 7 skipped, 0 failed) on feat/workspace-shell-polish at 045a7b5.</t>
  </si>
  <si>
    <t>Release/PR source: tools/releases/migration-inventory.test.mjs:203
Passed on 31 October 2026 in the local run of 387 tests (380 passed, 7 skipped, 0 failed) on feat/workspace-shell-polish at 045a7b5.</t>
  </si>
  <si>
    <t>Release/PR source: tools/releases/release.test.mjs:19
Passed on 31 October 2026 in the local run of 387 tests (380 passed, 7 skipped, 0 failed) on feat/workspace-shell-polish at 045a7b5.</t>
  </si>
  <si>
    <t>Release/PR source: tools/releases/release.test.mjs:21
Passed on 31 October 2026 in the local run of 387 tests (380 passed, 7 skipped, 0 failed) on feat/workspace-shell-polish at 045a7b5.</t>
  </si>
  <si>
    <t>Release/PR source: tools/releases/release.test.mjs:34
Passed on 31 October 2026 in the local run of 387 tests (380 passed, 7 skipped, 0 failed) on feat/workspace-shell-polish at 045a7b5.</t>
  </si>
  <si>
    <t>Release/PR source: tools/releases/release.test.mjs:45
Passed on 31 October 2026 in the local run of 387 tests (380 passed, 7 skipped, 0 failed) on feat/workspace-shell-polish at 045a7b5.</t>
  </si>
  <si>
    <t>Release/PR source: tools/releases/release.test.mjs:61
Passed on 31 October 2026 in the local run of 387 tests (380 passed, 7 skipped, 0 failed) on feat/workspace-shell-polish at 045a7b5.</t>
  </si>
  <si>
    <t>Release/PR source: tools/releases/release.test.mjs:67
Passed on 31 October 2026 in the local run of 387 tests (380 passed, 7 skipped, 0 failed) on feat/workspace-shell-polish at 045a7b5.</t>
  </si>
  <si>
    <t>Release/PR source: tools/releases/release.test.mjs:81
Passed on 31 October 2026 in the local run of 387 tests (380 passed, 7 skipped, 0 failed) on feat/workspace-shell-polish at 045a7b5.</t>
  </si>
  <si>
    <t>Release/PR source: tools/releases/release.test.mjs:103
Passed on 31 October 2026 in the local run of 387 tests (380 passed, 7 skipped, 0 failed) on feat/workspace-shell-polish at 045a7b5.</t>
  </si>
  <si>
    <t>Release/PR source: tools/releases/release.test.mjs:131
Passed on 31 October 2026 in the local run of 387 tests (380 passed, 7 skipped, 0 failed) on feat/workspace-shell-polish at 045a7b5.</t>
  </si>
  <si>
    <t>Release/PR source: tools/releases/release.test.mjs:151
Passed on 31 October 2026 in the local run of 387 tests (380 passed, 7 skipped, 0 failed) on feat/workspace-shell-polish at 045a7b5.</t>
  </si>
  <si>
    <t>Release/PR source: tools/releases/release.test.mjs:172
Passed on 31 October 2026 in the local run of 387 tests (380 passed, 7 skipped, 0 failed) on feat/workspace-shell-polish at 045a7b5.</t>
  </si>
  <si>
    <t>Release/PR source: tools/releases/release.test.mjs:192
Passed on 31 October 2026 in the local run of 387 tests (380 passed, 7 skipped, 0 failed) on feat/workspace-shell-polish at 045a7b5.</t>
  </si>
  <si>
    <t>Release/PR source: tools/releases/release.test.mjs:210
Passed on 31 October 2026 in the local run of 387 tests (380 passed, 7 skipped, 0 failed) on feat/workspace-shell-polish at 045a7b5.</t>
  </si>
  <si>
    <t>Release/PR source: tools/releases/release.test.mjs:222
Passed on 31 October 2026 in the local run of 387 tests (380 passed, 7 skipped, 0 failed) on feat/workspace-shell-polish at 045a7b5.</t>
  </si>
  <si>
    <t>Release/PR source: tools/releases/transport.test.mjs:13
Passed on 31 October 2026 in the local run of 387 tests (380 passed, 7 skipped, 0 failed) on feat/workspace-shell-polish at 045a7b5.</t>
  </si>
  <si>
    <t>Release/PR source: tools/releases/transport.test.mjs:27
Passed on 31 October 2026 in the local run of 387 tests (380 passed, 7 skipped, 0 failed) on feat/workspace-shell-polish at 045a7b5.</t>
  </si>
  <si>
    <t>Release/PR source: tools/releases/transport.test.mjs:39
Passed on 31 October 2026 in the local run of 387 tests (380 passed, 7 skipped, 0 failed) on feat/workspace-shell-polish at 045a7b5.</t>
  </si>
  <si>
    <t>Release/PR source: tools/releases/transport.test.mjs:52
Passed on 31 October 2026 in the local run of 387 tests (380 passed, 7 skipped, 0 failed) on feat/workspace-shell-polish at 045a7b5.</t>
  </si>
  <si>
    <t>Release/PR source: tools/releases/transport.test.mjs:64
Passed on 31 October 2026 in the local run of 387 tests (380 passed, 7 skipped, 0 failed) on feat/workspace-shell-polish at 045a7b5.</t>
  </si>
  <si>
    <t>Release/PR source: tools/releases/transport.test.mjs:72
Passed on 31 October 2026 in the local run of 387 tests (380 passed, 7 skipped, 0 failed) on feat/workspace-shell-polish at 045a7b5.</t>
  </si>
  <si>
    <t>Local run on 31 October 2026, tester Quốc Anh, on feat/workspace-shell-polish at 045a7b5. Commands: pnpm test, pnpm test:remote, and the release and pull-request node tests. Result: 387 tests, 380 passed, 7 skipped, 0 failed. The seven skips are one live Supabase auth check and six PostgreSQL row-level-security checks; those environments were not configured. Areas: UI 168 passed; API 136 passed and 7 skipped; Desktop 7; Domain 5; Remote workflow 16; Release and pull-request checks 48. The 50 manual scenarios are pending and are not in this total.</t>
  </si>
  <si>
    <t>Local run of 387 tests on 31 October 2026 by Quốc Anh: 380 passed, 7 skipped, 0 failed.</t>
  </si>
  <si>
    <t>feat/workspace-shell-polish @ 045a7b5; pnpm test, pnpm test:remote, and the release and pull-request node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</si>
</sst>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1">
    <font>
      <sz val="11"/>
      <name val="ＭＳ Ｐゴシック"/>
    </font>
    <font>
      <sz val="9"/>
      <name val="ＭＳ ゴシック"/>
      <family val="3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</font>
    <font>
      <b/>
      <i/>
      <sz val="10"/>
      <name val="Tahoma"/>
      <family val="2"/>
    </font>
    <font>
      <sz val="11"/>
      <name val="ＭＳ Ｐゴシック"/>
      <family val="3"/>
    </font>
    <font>
      <i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indexed="27"/>
      </patternFill>
    </fill>
    <fill>
      <patternFill patternType="solid">
        <fgColor theme="6" tint="-0.249977111117893"/>
        <bgColor indexed="65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9" fillId="0" borderId="0"/>
  </cellStyleXfs>
  <cellXfs count="154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" fillId="2" borderId="0" xfId="3" applyFont="1" applyFill="1" applyAlignment="1">
      <alignment wrapText="1"/>
    </xf>
    <xf numFmtId="0" fontId="7" fillId="6" borderId="25" xfId="3" applyFont="1" applyFill="1" applyBorder="1" applyAlignment="1">
      <alignment horizontal="center" vertical="center" wrapText="1"/>
    </xf>
    <xf numFmtId="0" fontId="18" fillId="2" borderId="25" xfId="3" applyFont="1" applyFill="1" applyBorder="1" applyAlignment="1">
      <alignment horizontal="center" vertical="top" wrapText="1"/>
    </xf>
    <xf numFmtId="0" fontId="2" fillId="2" borderId="25" xfId="3" applyFont="1" applyFill="1" applyBorder="1" applyAlignment="1">
      <alignment horizontal="center" vertical="top" wrapText="1"/>
    </xf>
    <xf numFmtId="0" fontId="18" fillId="2" borderId="29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2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0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10" fillId="2" borderId="29" xfId="3" applyFont="1" applyFill="1" applyBorder="1" applyAlignment="1">
      <alignment horizontal="center" vertical="top" wrapText="1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/>
    </xf>
    <xf numFmtId="0" fontId="6" fillId="0" borderId="0" xfId="5" applyFont="1" applyAlignment="1">
      <alignment horizontal="left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0" fillId="0" borderId="2" xfId="5" applyFont="1" applyBorder="1"/>
    <xf numFmtId="0" fontId="10" fillId="2" borderId="1" xfId="5" applyFont="1" applyFill="1" applyBorder="1" applyAlignment="1">
      <alignment vertical="center"/>
    </xf>
    <xf numFmtId="0" fontId="20" fillId="0" borderId="2" xfId="5" applyFont="1" applyBorder="1" applyAlignment="1">
      <alignment horizontal="left"/>
    </xf>
    <xf numFmtId="0" fontId="10" fillId="0" borderId="0" xfId="5" applyFont="1"/>
    <xf numFmtId="0" fontId="5" fillId="0" borderId="0" xfId="5" applyFont="1" applyAlignment="1">
      <alignment horizontal="left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/>
    </xf>
    <xf numFmtId="0" fontId="10" fillId="2" borderId="26" xfId="2" applyFont="1" applyFill="1" applyBorder="1" applyAlignment="1">
      <alignment horizontal="center" vertical="top" wrapText="1"/>
    </xf>
    <xf numFmtId="0" fontId="6" fillId="2" borderId="0" xfId="2" applyFont="1" applyFill="1" applyAlignment="1">
      <alignment wrapText="1"/>
    </xf>
    <xf numFmtId="0" fontId="6" fillId="2" borderId="0" xfId="2" applyFont="1" applyFill="1" applyAlignment="1">
      <alignment horizontal="left" wrapText="1"/>
    </xf>
    <xf numFmtId="0" fontId="10" fillId="2" borderId="29" xfId="2" applyFont="1" applyFill="1" applyBorder="1" applyAlignment="1">
      <alignment horizontal="center" vertical="top" wrapText="1"/>
    </xf>
    <xf numFmtId="0" fontId="18" fillId="2" borderId="29" xfId="2" applyFont="1" applyFill="1" applyBorder="1" applyAlignment="1">
      <alignment horizontal="center" vertical="top" wrapText="1"/>
    </xf>
    <xf numFmtId="0" fontId="18" fillId="2" borderId="25" xfId="2" applyFont="1" applyFill="1" applyBorder="1" applyAlignment="1">
      <alignment horizontal="center" vertical="top" wrapText="1"/>
    </xf>
    <xf numFmtId="0" fontId="18" fillId="2" borderId="30" xfId="2" applyFont="1" applyFill="1" applyBorder="1" applyAlignment="1">
      <alignment horizontal="center" vertical="top" wrapText="1"/>
    </xf>
    <xf numFmtId="0" fontId="2" fillId="2" borderId="25" xfId="2" applyFont="1" applyFill="1" applyBorder="1" applyAlignment="1">
      <alignment horizontal="center" vertical="top" wrapText="1"/>
    </xf>
    <xf numFmtId="0" fontId="2" fillId="2" borderId="30" xfId="2" applyFont="1" applyFill="1" applyBorder="1" applyAlignment="1">
      <alignment horizontal="center" vertical="top" wrapText="1"/>
    </xf>
    <xf numFmtId="0" fontId="18" fillId="2" borderId="31" xfId="2" applyFont="1" applyFill="1" applyBorder="1" applyAlignment="1">
      <alignment horizontal="center" vertical="top" wrapText="1"/>
    </xf>
    <xf numFmtId="0" fontId="2" fillId="2" borderId="32" xfId="2" applyFont="1" applyFill="1" applyBorder="1" applyAlignment="1">
      <alignment horizontal="center" vertical="top" wrapText="1"/>
    </xf>
    <xf numFmtId="0" fontId="2" fillId="2" borderId="33" xfId="2" applyFont="1" applyFill="1" applyBorder="1" applyAlignment="1">
      <alignment horizontal="center" vertical="top" wrapText="1"/>
    </xf>
    <xf numFmtId="0" fontId="7" fillId="6" borderId="25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10" fillId="5" borderId="22" xfId="2" applyFont="1" applyFill="1" applyBorder="1" applyAlignment="1">
      <alignment horizontal="left" vertical="center"/>
    </xf>
    <xf numFmtId="0" fontId="10" fillId="5" borderId="23" xfId="2" applyFont="1" applyFill="1" applyBorder="1" applyAlignment="1">
      <alignment horizontal="left" vertical="center"/>
    </xf>
    <xf numFmtId="0" fontId="10" fillId="5" borderId="24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20" fillId="0" borderId="6" xfId="0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5" fontId="2" fillId="0" borderId="7" xfId="0" applyNumberFormat="1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1" fontId="2" fillId="2" borderId="6" xfId="0" applyNumberFormat="1" applyFont="1" applyFill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horizontal="left"/>
    </xf>
    <xf numFmtId="0" fontId="20" fillId="0" borderId="13" xfId="5" applyFont="1" applyBorder="1" applyAlignment="1">
      <alignment horizontal="left" vertical="center"/>
    </xf>
    <xf numFmtId="0" fontId="20" fillId="0" borderId="14" xfId="5" applyFont="1" applyBorder="1" applyAlignment="1">
      <alignment horizontal="left" vertical="center"/>
    </xf>
    <xf numFmtId="0" fontId="20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2" borderId="0" xfId="2" applyFont="1" applyFill="1" applyAlignment="1">
      <alignment horizontal="center"/>
    </xf>
    <xf numFmtId="0" fontId="2" fillId="2" borderId="27" xfId="3" applyFont="1" applyFill="1" applyBorder="1" applyAlignment="1">
      <alignment horizontal="left" vertical="top" wrapText="1"/>
    </xf>
    <xf numFmtId="0" fontId="2" fillId="2" borderId="28" xfId="3" applyFont="1" applyFill="1" applyBorder="1" applyAlignment="1">
      <alignment horizontal="left" vertical="top" wrapText="1"/>
    </xf>
    <xf numFmtId="0" fontId="2" fillId="2" borderId="25" xfId="3" applyFont="1" applyFill="1" applyBorder="1" applyAlignment="1">
      <alignment horizontal="left" vertical="top" wrapText="1"/>
    </xf>
    <xf numFmtId="0" fontId="2" fillId="2" borderId="30" xfId="3" applyFont="1" applyFill="1" applyBorder="1" applyAlignment="1">
      <alignment horizontal="left" vertical="top" wrapText="1"/>
    </xf>
    <xf numFmtId="0" fontId="2" fillId="2" borderId="27" xfId="2" applyFont="1" applyFill="1" applyBorder="1" applyAlignment="1">
      <alignment horizontal="left" vertical="top" wrapText="1"/>
    </xf>
    <xf numFmtId="0" fontId="2" fillId="2" borderId="28" xfId="2" applyFont="1" applyFill="1" applyBorder="1" applyAlignment="1">
      <alignment horizontal="left" vertical="top" wrapText="1"/>
    </xf>
    <xf numFmtId="0" fontId="2" fillId="2" borderId="25" xfId="2" applyFont="1" applyFill="1" applyBorder="1" applyAlignment="1">
      <alignment horizontal="left" vertical="top" wrapText="1"/>
    </xf>
    <xf numFmtId="0" fontId="2" fillId="2" borderId="30" xfId="2" applyFont="1" applyFill="1" applyBorder="1" applyAlignment="1">
      <alignment horizontal="left" vertical="top" wrapText="1"/>
    </xf>
  </cellXfs>
  <cellStyles count="6">
    <cellStyle name="Hyperlink" xfId="1" xr:uid="{00000000-0005-0000-0000-000000000000}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4000000}"/>
    <cellStyle name="標準_結合試験(AllOvertheWorld)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</xdr:col>
      <xdr:colOff>2019300</xdr:colOff>
      <xdr:row>45</xdr:row>
      <xdr:rowOff>85725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D2D0F2A-CADB-7AE9-D197-4E38CB7FADC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361950</xdr:colOff>
      <xdr:row>16</xdr:row>
      <xdr:rowOff>304800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2EB5FE7-D66D-5E74-103F-2498E8F540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419100</xdr:colOff>
      <xdr:row>15</xdr:row>
      <xdr:rowOff>161925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0C1B19E3-F687-1DA6-2A05-0EDC9C05CE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</a:ln>
      </a:spPr>
      <a:bodyPr wrap="square" lIns="18288" tIns="0" rIns="0" bIns="0"/>
      <a:lstStyle/>
    </a:spDef>
    <a:ln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</a:ln>
      </a:spPr>
      <a:bodyPr wrap="square" lIns="18288" tIns="0" rIns="0" bIns="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tabSelected="1" workbookViewId="0"/>
  </sheetViews>
  <sheetFormatPr defaultColWidth="9" defaultRowHeight="12.75"/>
  <cols>
    <col min="1" max="1" width="28.125" style="106" customWidth="1"/>
    <col min="2" max="2" width="10" style="83" customWidth="1"/>
    <col min="3" max="3" width="14.375" style="83" customWidth="1"/>
    <col min="4" max="4" width="8" style="83" customWidth="1"/>
    <col min="5" max="5" width="38" style="83" customWidth="1"/>
    <col min="6" max="6" width="48.125" style="83" customWidth="1"/>
    <col min="7" max="256" width="9" style="83"/>
    <col min="257" max="257" width="28.125" style="83" customWidth="1"/>
    <col min="258" max="258" width="10" style="83" customWidth="1"/>
    <col min="259" max="259" width="14.375" style="83" customWidth="1"/>
    <col min="260" max="260" width="8" style="83" customWidth="1"/>
    <col min="261" max="261" width="38" style="83" customWidth="1"/>
    <col min="262" max="262" width="48.125" style="83" customWidth="1"/>
    <col min="263" max="512" width="9" style="83"/>
    <col min="513" max="513" width="28.125" style="83" customWidth="1"/>
    <col min="514" max="514" width="10" style="83" customWidth="1"/>
    <col min="515" max="515" width="14.375" style="83" customWidth="1"/>
    <col min="516" max="516" width="8" style="83" customWidth="1"/>
    <col min="517" max="517" width="38" style="83" customWidth="1"/>
    <col min="518" max="518" width="48.125" style="83" customWidth="1"/>
    <col min="519" max="768" width="9" style="83"/>
    <col min="769" max="769" width="28.125" style="83" customWidth="1"/>
    <col min="770" max="770" width="10" style="83" customWidth="1"/>
    <col min="771" max="771" width="14.375" style="83" customWidth="1"/>
    <col min="772" max="772" width="8" style="83" customWidth="1"/>
    <col min="773" max="773" width="38" style="83" customWidth="1"/>
    <col min="774" max="774" width="48.125" style="83" customWidth="1"/>
    <col min="775" max="1024" width="9" style="83"/>
    <col min="1025" max="1025" width="28.125" style="83" customWidth="1"/>
    <col min="1026" max="1026" width="10" style="83" customWidth="1"/>
    <col min="1027" max="1027" width="14.375" style="83" customWidth="1"/>
    <col min="1028" max="1028" width="8" style="83" customWidth="1"/>
    <col min="1029" max="1029" width="38" style="83" customWidth="1"/>
    <col min="1030" max="1030" width="48.125" style="83" customWidth="1"/>
    <col min="1031" max="1280" width="9" style="83"/>
    <col min="1281" max="1281" width="28.125" style="83" customWidth="1"/>
    <col min="1282" max="1282" width="10" style="83" customWidth="1"/>
    <col min="1283" max="1283" width="14.375" style="83" customWidth="1"/>
    <col min="1284" max="1284" width="8" style="83" customWidth="1"/>
    <col min="1285" max="1285" width="38" style="83" customWidth="1"/>
    <col min="1286" max="1286" width="48.125" style="83" customWidth="1"/>
    <col min="1287" max="1536" width="9" style="83"/>
    <col min="1537" max="1537" width="28.125" style="83" customWidth="1"/>
    <col min="1538" max="1538" width="10" style="83" customWidth="1"/>
    <col min="1539" max="1539" width="14.375" style="83" customWidth="1"/>
    <col min="1540" max="1540" width="8" style="83" customWidth="1"/>
    <col min="1541" max="1541" width="38" style="83" customWidth="1"/>
    <col min="1542" max="1542" width="48.125" style="83" customWidth="1"/>
    <col min="1543" max="1792" width="9" style="83"/>
    <col min="1793" max="1793" width="28.125" style="83" customWidth="1"/>
    <col min="1794" max="1794" width="10" style="83" customWidth="1"/>
    <col min="1795" max="1795" width="14.375" style="83" customWidth="1"/>
    <col min="1796" max="1796" width="8" style="83" customWidth="1"/>
    <col min="1797" max="1797" width="38" style="83" customWidth="1"/>
    <col min="1798" max="1798" width="48.125" style="83" customWidth="1"/>
    <col min="1799" max="2048" width="9" style="83"/>
    <col min="2049" max="2049" width="28.125" style="83" customWidth="1"/>
    <col min="2050" max="2050" width="10" style="83" customWidth="1"/>
    <col min="2051" max="2051" width="14.375" style="83" customWidth="1"/>
    <col min="2052" max="2052" width="8" style="83" customWidth="1"/>
    <col min="2053" max="2053" width="38" style="83" customWidth="1"/>
    <col min="2054" max="2054" width="48.125" style="83" customWidth="1"/>
    <col min="2055" max="2304" width="9" style="83"/>
    <col min="2305" max="2305" width="28.125" style="83" customWidth="1"/>
    <col min="2306" max="2306" width="10" style="83" customWidth="1"/>
    <col min="2307" max="2307" width="14.375" style="83" customWidth="1"/>
    <col min="2308" max="2308" width="8" style="83" customWidth="1"/>
    <col min="2309" max="2309" width="38" style="83" customWidth="1"/>
    <col min="2310" max="2310" width="48.125" style="83" customWidth="1"/>
    <col min="2311" max="2560" width="9" style="83"/>
    <col min="2561" max="2561" width="28.125" style="83" customWidth="1"/>
    <col min="2562" max="2562" width="10" style="83" customWidth="1"/>
    <col min="2563" max="2563" width="14.375" style="83" customWidth="1"/>
    <col min="2564" max="2564" width="8" style="83" customWidth="1"/>
    <col min="2565" max="2565" width="38" style="83" customWidth="1"/>
    <col min="2566" max="2566" width="48.125" style="83" customWidth="1"/>
    <col min="2567" max="2816" width="9" style="83"/>
    <col min="2817" max="2817" width="28.125" style="83" customWidth="1"/>
    <col min="2818" max="2818" width="10" style="83" customWidth="1"/>
    <col min="2819" max="2819" width="14.375" style="83" customWidth="1"/>
    <col min="2820" max="2820" width="8" style="83" customWidth="1"/>
    <col min="2821" max="2821" width="38" style="83" customWidth="1"/>
    <col min="2822" max="2822" width="48.125" style="83" customWidth="1"/>
    <col min="2823" max="3072" width="9" style="83"/>
    <col min="3073" max="3073" width="28.125" style="83" customWidth="1"/>
    <col min="3074" max="3074" width="10" style="83" customWidth="1"/>
    <col min="3075" max="3075" width="14.375" style="83" customWidth="1"/>
    <col min="3076" max="3076" width="8" style="83" customWidth="1"/>
    <col min="3077" max="3077" width="38" style="83" customWidth="1"/>
    <col min="3078" max="3078" width="48.125" style="83" customWidth="1"/>
    <col min="3079" max="3328" width="9" style="83"/>
    <col min="3329" max="3329" width="28.125" style="83" customWidth="1"/>
    <col min="3330" max="3330" width="10" style="83" customWidth="1"/>
    <col min="3331" max="3331" width="14.375" style="83" customWidth="1"/>
    <col min="3332" max="3332" width="8" style="83" customWidth="1"/>
    <col min="3333" max="3333" width="38" style="83" customWidth="1"/>
    <col min="3334" max="3334" width="48.125" style="83" customWidth="1"/>
    <col min="3335" max="3584" width="9" style="83"/>
    <col min="3585" max="3585" width="28.125" style="83" customWidth="1"/>
    <col min="3586" max="3586" width="10" style="83" customWidth="1"/>
    <col min="3587" max="3587" width="14.375" style="83" customWidth="1"/>
    <col min="3588" max="3588" width="8" style="83" customWidth="1"/>
    <col min="3589" max="3589" width="38" style="83" customWidth="1"/>
    <col min="3590" max="3590" width="48.125" style="83" customWidth="1"/>
    <col min="3591" max="3840" width="9" style="83"/>
    <col min="3841" max="3841" width="28.125" style="83" customWidth="1"/>
    <col min="3842" max="3842" width="10" style="83" customWidth="1"/>
    <col min="3843" max="3843" width="14.375" style="83" customWidth="1"/>
    <col min="3844" max="3844" width="8" style="83" customWidth="1"/>
    <col min="3845" max="3845" width="38" style="83" customWidth="1"/>
    <col min="3846" max="3846" width="48.125" style="83" customWidth="1"/>
    <col min="3847" max="4096" width="9" style="83"/>
    <col min="4097" max="4097" width="28.125" style="83" customWidth="1"/>
    <col min="4098" max="4098" width="10" style="83" customWidth="1"/>
    <col min="4099" max="4099" width="14.375" style="83" customWidth="1"/>
    <col min="4100" max="4100" width="8" style="83" customWidth="1"/>
    <col min="4101" max="4101" width="38" style="83" customWidth="1"/>
    <col min="4102" max="4102" width="48.125" style="83" customWidth="1"/>
    <col min="4103" max="4352" width="9" style="83"/>
    <col min="4353" max="4353" width="28.125" style="83" customWidth="1"/>
    <col min="4354" max="4354" width="10" style="83" customWidth="1"/>
    <col min="4355" max="4355" width="14.375" style="83" customWidth="1"/>
    <col min="4356" max="4356" width="8" style="83" customWidth="1"/>
    <col min="4357" max="4357" width="38" style="83" customWidth="1"/>
    <col min="4358" max="4358" width="48.125" style="83" customWidth="1"/>
    <col min="4359" max="4608" width="9" style="83"/>
    <col min="4609" max="4609" width="28.125" style="83" customWidth="1"/>
    <col min="4610" max="4610" width="10" style="83" customWidth="1"/>
    <col min="4611" max="4611" width="14.375" style="83" customWidth="1"/>
    <col min="4612" max="4612" width="8" style="83" customWidth="1"/>
    <col min="4613" max="4613" width="38" style="83" customWidth="1"/>
    <col min="4614" max="4614" width="48.125" style="83" customWidth="1"/>
    <col min="4615" max="4864" width="9" style="83"/>
    <col min="4865" max="4865" width="28.125" style="83" customWidth="1"/>
    <col min="4866" max="4866" width="10" style="83" customWidth="1"/>
    <col min="4867" max="4867" width="14.375" style="83" customWidth="1"/>
    <col min="4868" max="4868" width="8" style="83" customWidth="1"/>
    <col min="4869" max="4869" width="38" style="83" customWidth="1"/>
    <col min="4870" max="4870" width="48.125" style="83" customWidth="1"/>
    <col min="4871" max="5120" width="9" style="83"/>
    <col min="5121" max="5121" width="28.125" style="83" customWidth="1"/>
    <col min="5122" max="5122" width="10" style="83" customWidth="1"/>
    <col min="5123" max="5123" width="14.375" style="83" customWidth="1"/>
    <col min="5124" max="5124" width="8" style="83" customWidth="1"/>
    <col min="5125" max="5125" width="38" style="83" customWidth="1"/>
    <col min="5126" max="5126" width="48.125" style="83" customWidth="1"/>
    <col min="5127" max="5376" width="9" style="83"/>
    <col min="5377" max="5377" width="28.125" style="83" customWidth="1"/>
    <col min="5378" max="5378" width="10" style="83" customWidth="1"/>
    <col min="5379" max="5379" width="14.375" style="83" customWidth="1"/>
    <col min="5380" max="5380" width="8" style="83" customWidth="1"/>
    <col min="5381" max="5381" width="38" style="83" customWidth="1"/>
    <col min="5382" max="5382" width="48.125" style="83" customWidth="1"/>
    <col min="5383" max="5632" width="9" style="83"/>
    <col min="5633" max="5633" width="28.125" style="83" customWidth="1"/>
    <col min="5634" max="5634" width="10" style="83" customWidth="1"/>
    <col min="5635" max="5635" width="14.375" style="83" customWidth="1"/>
    <col min="5636" max="5636" width="8" style="83" customWidth="1"/>
    <col min="5637" max="5637" width="38" style="83" customWidth="1"/>
    <col min="5638" max="5638" width="48.125" style="83" customWidth="1"/>
    <col min="5639" max="5888" width="9" style="83"/>
    <col min="5889" max="5889" width="28.125" style="83" customWidth="1"/>
    <col min="5890" max="5890" width="10" style="83" customWidth="1"/>
    <col min="5891" max="5891" width="14.375" style="83" customWidth="1"/>
    <col min="5892" max="5892" width="8" style="83" customWidth="1"/>
    <col min="5893" max="5893" width="38" style="83" customWidth="1"/>
    <col min="5894" max="5894" width="48.125" style="83" customWidth="1"/>
    <col min="5895" max="6144" width="9" style="83"/>
    <col min="6145" max="6145" width="28.125" style="83" customWidth="1"/>
    <col min="6146" max="6146" width="10" style="83" customWidth="1"/>
    <col min="6147" max="6147" width="14.375" style="83" customWidth="1"/>
    <col min="6148" max="6148" width="8" style="83" customWidth="1"/>
    <col min="6149" max="6149" width="38" style="83" customWidth="1"/>
    <col min="6150" max="6150" width="48.125" style="83" customWidth="1"/>
    <col min="6151" max="6400" width="9" style="83"/>
    <col min="6401" max="6401" width="28.125" style="83" customWidth="1"/>
    <col min="6402" max="6402" width="10" style="83" customWidth="1"/>
    <col min="6403" max="6403" width="14.375" style="83" customWidth="1"/>
    <col min="6404" max="6404" width="8" style="83" customWidth="1"/>
    <col min="6405" max="6405" width="38" style="83" customWidth="1"/>
    <col min="6406" max="6406" width="48.125" style="83" customWidth="1"/>
    <col min="6407" max="6656" width="9" style="83"/>
    <col min="6657" max="6657" width="28.125" style="83" customWidth="1"/>
    <col min="6658" max="6658" width="10" style="83" customWidth="1"/>
    <col min="6659" max="6659" width="14.375" style="83" customWidth="1"/>
    <col min="6660" max="6660" width="8" style="83" customWidth="1"/>
    <col min="6661" max="6661" width="38" style="83" customWidth="1"/>
    <col min="6662" max="6662" width="48.125" style="83" customWidth="1"/>
    <col min="6663" max="6912" width="9" style="83"/>
    <col min="6913" max="6913" width="28.125" style="83" customWidth="1"/>
    <col min="6914" max="6914" width="10" style="83" customWidth="1"/>
    <col min="6915" max="6915" width="14.375" style="83" customWidth="1"/>
    <col min="6916" max="6916" width="8" style="83" customWidth="1"/>
    <col min="6917" max="6917" width="38" style="83" customWidth="1"/>
    <col min="6918" max="6918" width="48.125" style="83" customWidth="1"/>
    <col min="6919" max="7168" width="9" style="83"/>
    <col min="7169" max="7169" width="28.125" style="83" customWidth="1"/>
    <col min="7170" max="7170" width="10" style="83" customWidth="1"/>
    <col min="7171" max="7171" width="14.375" style="83" customWidth="1"/>
    <col min="7172" max="7172" width="8" style="83" customWidth="1"/>
    <col min="7173" max="7173" width="38" style="83" customWidth="1"/>
    <col min="7174" max="7174" width="48.125" style="83" customWidth="1"/>
    <col min="7175" max="7424" width="9" style="83"/>
    <col min="7425" max="7425" width="28.125" style="83" customWidth="1"/>
    <col min="7426" max="7426" width="10" style="83" customWidth="1"/>
    <col min="7427" max="7427" width="14.375" style="83" customWidth="1"/>
    <col min="7428" max="7428" width="8" style="83" customWidth="1"/>
    <col min="7429" max="7429" width="38" style="83" customWidth="1"/>
    <col min="7430" max="7430" width="48.125" style="83" customWidth="1"/>
    <col min="7431" max="7680" width="9" style="83"/>
    <col min="7681" max="7681" width="28.125" style="83" customWidth="1"/>
    <col min="7682" max="7682" width="10" style="83" customWidth="1"/>
    <col min="7683" max="7683" width="14.375" style="83" customWidth="1"/>
    <col min="7684" max="7684" width="8" style="83" customWidth="1"/>
    <col min="7685" max="7685" width="38" style="83" customWidth="1"/>
    <col min="7686" max="7686" width="48.125" style="83" customWidth="1"/>
    <col min="7687" max="7936" width="9" style="83"/>
    <col min="7937" max="7937" width="28.125" style="83" customWidth="1"/>
    <col min="7938" max="7938" width="10" style="83" customWidth="1"/>
    <col min="7939" max="7939" width="14.375" style="83" customWidth="1"/>
    <col min="7940" max="7940" width="8" style="83" customWidth="1"/>
    <col min="7941" max="7941" width="38" style="83" customWidth="1"/>
    <col min="7942" max="7942" width="48.125" style="83" customWidth="1"/>
    <col min="7943" max="8192" width="9" style="83"/>
    <col min="8193" max="8193" width="28.125" style="83" customWidth="1"/>
    <col min="8194" max="8194" width="10" style="83" customWidth="1"/>
    <col min="8195" max="8195" width="14.375" style="83" customWidth="1"/>
    <col min="8196" max="8196" width="8" style="83" customWidth="1"/>
    <col min="8197" max="8197" width="38" style="83" customWidth="1"/>
    <col min="8198" max="8198" width="48.125" style="83" customWidth="1"/>
    <col min="8199" max="8448" width="9" style="83"/>
    <col min="8449" max="8449" width="28.125" style="83" customWidth="1"/>
    <col min="8450" max="8450" width="10" style="83" customWidth="1"/>
    <col min="8451" max="8451" width="14.375" style="83" customWidth="1"/>
    <col min="8452" max="8452" width="8" style="83" customWidth="1"/>
    <col min="8453" max="8453" width="38" style="83" customWidth="1"/>
    <col min="8454" max="8454" width="48.125" style="83" customWidth="1"/>
    <col min="8455" max="8704" width="9" style="83"/>
    <col min="8705" max="8705" width="28.125" style="83" customWidth="1"/>
    <col min="8706" max="8706" width="10" style="83" customWidth="1"/>
    <col min="8707" max="8707" width="14.375" style="83" customWidth="1"/>
    <col min="8708" max="8708" width="8" style="83" customWidth="1"/>
    <col min="8709" max="8709" width="38" style="83" customWidth="1"/>
    <col min="8710" max="8710" width="48.125" style="83" customWidth="1"/>
    <col min="8711" max="8960" width="9" style="83"/>
    <col min="8961" max="8961" width="28.125" style="83" customWidth="1"/>
    <col min="8962" max="8962" width="10" style="83" customWidth="1"/>
    <col min="8963" max="8963" width="14.375" style="83" customWidth="1"/>
    <col min="8964" max="8964" width="8" style="83" customWidth="1"/>
    <col min="8965" max="8965" width="38" style="83" customWidth="1"/>
    <col min="8966" max="8966" width="48.125" style="83" customWidth="1"/>
    <col min="8967" max="9216" width="9" style="83"/>
    <col min="9217" max="9217" width="28.125" style="83" customWidth="1"/>
    <col min="9218" max="9218" width="10" style="83" customWidth="1"/>
    <col min="9219" max="9219" width="14.375" style="83" customWidth="1"/>
    <col min="9220" max="9220" width="8" style="83" customWidth="1"/>
    <col min="9221" max="9221" width="38" style="83" customWidth="1"/>
    <col min="9222" max="9222" width="48.125" style="83" customWidth="1"/>
    <col min="9223" max="9472" width="9" style="83"/>
    <col min="9473" max="9473" width="28.125" style="83" customWidth="1"/>
    <col min="9474" max="9474" width="10" style="83" customWidth="1"/>
    <col min="9475" max="9475" width="14.375" style="83" customWidth="1"/>
    <col min="9476" max="9476" width="8" style="83" customWidth="1"/>
    <col min="9477" max="9477" width="38" style="83" customWidth="1"/>
    <col min="9478" max="9478" width="48.125" style="83" customWidth="1"/>
    <col min="9479" max="9728" width="9" style="83"/>
    <col min="9729" max="9729" width="28.125" style="83" customWidth="1"/>
    <col min="9730" max="9730" width="10" style="83" customWidth="1"/>
    <col min="9731" max="9731" width="14.375" style="83" customWidth="1"/>
    <col min="9732" max="9732" width="8" style="83" customWidth="1"/>
    <col min="9733" max="9733" width="38" style="83" customWidth="1"/>
    <col min="9734" max="9734" width="48.125" style="83" customWidth="1"/>
    <col min="9735" max="9984" width="9" style="83"/>
    <col min="9985" max="9985" width="28.125" style="83" customWidth="1"/>
    <col min="9986" max="9986" width="10" style="83" customWidth="1"/>
    <col min="9987" max="9987" width="14.375" style="83" customWidth="1"/>
    <col min="9988" max="9988" width="8" style="83" customWidth="1"/>
    <col min="9989" max="9989" width="38" style="83" customWidth="1"/>
    <col min="9990" max="9990" width="48.125" style="83" customWidth="1"/>
    <col min="9991" max="10240" width="9" style="83"/>
    <col min="10241" max="10241" width="28.125" style="83" customWidth="1"/>
    <col min="10242" max="10242" width="10" style="83" customWidth="1"/>
    <col min="10243" max="10243" width="14.375" style="83" customWidth="1"/>
    <col min="10244" max="10244" width="8" style="83" customWidth="1"/>
    <col min="10245" max="10245" width="38" style="83" customWidth="1"/>
    <col min="10246" max="10246" width="48.125" style="83" customWidth="1"/>
    <col min="10247" max="10496" width="9" style="83"/>
    <col min="10497" max="10497" width="28.125" style="83" customWidth="1"/>
    <col min="10498" max="10498" width="10" style="83" customWidth="1"/>
    <col min="10499" max="10499" width="14.375" style="83" customWidth="1"/>
    <col min="10500" max="10500" width="8" style="83" customWidth="1"/>
    <col min="10501" max="10501" width="38" style="83" customWidth="1"/>
    <col min="10502" max="10502" width="48.125" style="83" customWidth="1"/>
    <col min="10503" max="10752" width="9" style="83"/>
    <col min="10753" max="10753" width="28.125" style="83" customWidth="1"/>
    <col min="10754" max="10754" width="10" style="83" customWidth="1"/>
    <col min="10755" max="10755" width="14.375" style="83" customWidth="1"/>
    <col min="10756" max="10756" width="8" style="83" customWidth="1"/>
    <col min="10757" max="10757" width="38" style="83" customWidth="1"/>
    <col min="10758" max="10758" width="48.125" style="83" customWidth="1"/>
    <col min="10759" max="11008" width="9" style="83"/>
    <col min="11009" max="11009" width="28.125" style="83" customWidth="1"/>
    <col min="11010" max="11010" width="10" style="83" customWidth="1"/>
    <col min="11011" max="11011" width="14.375" style="83" customWidth="1"/>
    <col min="11012" max="11012" width="8" style="83" customWidth="1"/>
    <col min="11013" max="11013" width="38" style="83" customWidth="1"/>
    <col min="11014" max="11014" width="48.125" style="83" customWidth="1"/>
    <col min="11015" max="11264" width="9" style="83"/>
    <col min="11265" max="11265" width="28.125" style="83" customWidth="1"/>
    <col min="11266" max="11266" width="10" style="83" customWidth="1"/>
    <col min="11267" max="11267" width="14.375" style="83" customWidth="1"/>
    <col min="11268" max="11268" width="8" style="83" customWidth="1"/>
    <col min="11269" max="11269" width="38" style="83" customWidth="1"/>
    <col min="11270" max="11270" width="48.125" style="83" customWidth="1"/>
    <col min="11271" max="11520" width="9" style="83"/>
    <col min="11521" max="11521" width="28.125" style="83" customWidth="1"/>
    <col min="11522" max="11522" width="10" style="83" customWidth="1"/>
    <col min="11523" max="11523" width="14.375" style="83" customWidth="1"/>
    <col min="11524" max="11524" width="8" style="83" customWidth="1"/>
    <col min="11525" max="11525" width="38" style="83" customWidth="1"/>
    <col min="11526" max="11526" width="48.125" style="83" customWidth="1"/>
    <col min="11527" max="11776" width="9" style="83"/>
    <col min="11777" max="11777" width="28.125" style="83" customWidth="1"/>
    <col min="11778" max="11778" width="10" style="83" customWidth="1"/>
    <col min="11779" max="11779" width="14.375" style="83" customWidth="1"/>
    <col min="11780" max="11780" width="8" style="83" customWidth="1"/>
    <col min="11781" max="11781" width="38" style="83" customWidth="1"/>
    <col min="11782" max="11782" width="48.125" style="83" customWidth="1"/>
    <col min="11783" max="12032" width="9" style="83"/>
    <col min="12033" max="12033" width="28.125" style="83" customWidth="1"/>
    <col min="12034" max="12034" width="10" style="83" customWidth="1"/>
    <col min="12035" max="12035" width="14.375" style="83" customWidth="1"/>
    <col min="12036" max="12036" width="8" style="83" customWidth="1"/>
    <col min="12037" max="12037" width="38" style="83" customWidth="1"/>
    <col min="12038" max="12038" width="48.125" style="83" customWidth="1"/>
    <col min="12039" max="12288" width="9" style="83"/>
    <col min="12289" max="12289" width="28.125" style="83" customWidth="1"/>
    <col min="12290" max="12290" width="10" style="83" customWidth="1"/>
    <col min="12291" max="12291" width="14.375" style="83" customWidth="1"/>
    <col min="12292" max="12292" width="8" style="83" customWidth="1"/>
    <col min="12293" max="12293" width="38" style="83" customWidth="1"/>
    <col min="12294" max="12294" width="48.125" style="83" customWidth="1"/>
    <col min="12295" max="12544" width="9" style="83"/>
    <col min="12545" max="12545" width="28.125" style="83" customWidth="1"/>
    <col min="12546" max="12546" width="10" style="83" customWidth="1"/>
    <col min="12547" max="12547" width="14.375" style="83" customWidth="1"/>
    <col min="12548" max="12548" width="8" style="83" customWidth="1"/>
    <col min="12549" max="12549" width="38" style="83" customWidth="1"/>
    <col min="12550" max="12550" width="48.125" style="83" customWidth="1"/>
    <col min="12551" max="12800" width="9" style="83"/>
    <col min="12801" max="12801" width="28.125" style="83" customWidth="1"/>
    <col min="12802" max="12802" width="10" style="83" customWidth="1"/>
    <col min="12803" max="12803" width="14.375" style="83" customWidth="1"/>
    <col min="12804" max="12804" width="8" style="83" customWidth="1"/>
    <col min="12805" max="12805" width="38" style="83" customWidth="1"/>
    <col min="12806" max="12806" width="48.125" style="83" customWidth="1"/>
    <col min="12807" max="13056" width="9" style="83"/>
    <col min="13057" max="13057" width="28.125" style="83" customWidth="1"/>
    <col min="13058" max="13058" width="10" style="83" customWidth="1"/>
    <col min="13059" max="13059" width="14.375" style="83" customWidth="1"/>
    <col min="13060" max="13060" width="8" style="83" customWidth="1"/>
    <col min="13061" max="13061" width="38" style="83" customWidth="1"/>
    <col min="13062" max="13062" width="48.125" style="83" customWidth="1"/>
    <col min="13063" max="13312" width="9" style="83"/>
    <col min="13313" max="13313" width="28.125" style="83" customWidth="1"/>
    <col min="13314" max="13314" width="10" style="83" customWidth="1"/>
    <col min="13315" max="13315" width="14.375" style="83" customWidth="1"/>
    <col min="13316" max="13316" width="8" style="83" customWidth="1"/>
    <col min="13317" max="13317" width="38" style="83" customWidth="1"/>
    <col min="13318" max="13318" width="48.125" style="83" customWidth="1"/>
    <col min="13319" max="13568" width="9" style="83"/>
    <col min="13569" max="13569" width="28.125" style="83" customWidth="1"/>
    <col min="13570" max="13570" width="10" style="83" customWidth="1"/>
    <col min="13571" max="13571" width="14.375" style="83" customWidth="1"/>
    <col min="13572" max="13572" width="8" style="83" customWidth="1"/>
    <col min="13573" max="13573" width="38" style="83" customWidth="1"/>
    <col min="13574" max="13574" width="48.125" style="83" customWidth="1"/>
    <col min="13575" max="13824" width="9" style="83"/>
    <col min="13825" max="13825" width="28.125" style="83" customWidth="1"/>
    <col min="13826" max="13826" width="10" style="83" customWidth="1"/>
    <col min="13827" max="13827" width="14.375" style="83" customWidth="1"/>
    <col min="13828" max="13828" width="8" style="83" customWidth="1"/>
    <col min="13829" max="13829" width="38" style="83" customWidth="1"/>
    <col min="13830" max="13830" width="48.125" style="83" customWidth="1"/>
    <col min="13831" max="14080" width="9" style="83"/>
    <col min="14081" max="14081" width="28.125" style="83" customWidth="1"/>
    <col min="14082" max="14082" width="10" style="83" customWidth="1"/>
    <col min="14083" max="14083" width="14.375" style="83" customWidth="1"/>
    <col min="14084" max="14084" width="8" style="83" customWidth="1"/>
    <col min="14085" max="14085" width="38" style="83" customWidth="1"/>
    <col min="14086" max="14086" width="48.125" style="83" customWidth="1"/>
    <col min="14087" max="14336" width="9" style="83"/>
    <col min="14337" max="14337" width="28.125" style="83" customWidth="1"/>
    <col min="14338" max="14338" width="10" style="83" customWidth="1"/>
    <col min="14339" max="14339" width="14.375" style="83" customWidth="1"/>
    <col min="14340" max="14340" width="8" style="83" customWidth="1"/>
    <col min="14341" max="14341" width="38" style="83" customWidth="1"/>
    <col min="14342" max="14342" width="48.125" style="83" customWidth="1"/>
    <col min="14343" max="14592" width="9" style="83"/>
    <col min="14593" max="14593" width="28.125" style="83" customWidth="1"/>
    <col min="14594" max="14594" width="10" style="83" customWidth="1"/>
    <col min="14595" max="14595" width="14.375" style="83" customWidth="1"/>
    <col min="14596" max="14596" width="8" style="83" customWidth="1"/>
    <col min="14597" max="14597" width="38" style="83" customWidth="1"/>
    <col min="14598" max="14598" width="48.125" style="83" customWidth="1"/>
    <col min="14599" max="14848" width="9" style="83"/>
    <col min="14849" max="14849" width="28.125" style="83" customWidth="1"/>
    <col min="14850" max="14850" width="10" style="83" customWidth="1"/>
    <col min="14851" max="14851" width="14.375" style="83" customWidth="1"/>
    <col min="14852" max="14852" width="8" style="83" customWidth="1"/>
    <col min="14853" max="14853" width="38" style="83" customWidth="1"/>
    <col min="14854" max="14854" width="48.125" style="83" customWidth="1"/>
    <col min="14855" max="15104" width="9" style="83"/>
    <col min="15105" max="15105" width="28.125" style="83" customWidth="1"/>
    <col min="15106" max="15106" width="10" style="83" customWidth="1"/>
    <col min="15107" max="15107" width="14.375" style="83" customWidth="1"/>
    <col min="15108" max="15108" width="8" style="83" customWidth="1"/>
    <col min="15109" max="15109" width="38" style="83" customWidth="1"/>
    <col min="15110" max="15110" width="48.125" style="83" customWidth="1"/>
    <col min="15111" max="15360" width="9" style="83"/>
    <col min="15361" max="15361" width="28.125" style="83" customWidth="1"/>
    <col min="15362" max="15362" width="10" style="83" customWidth="1"/>
    <col min="15363" max="15363" width="14.375" style="83" customWidth="1"/>
    <col min="15364" max="15364" width="8" style="83" customWidth="1"/>
    <col min="15365" max="15365" width="38" style="83" customWidth="1"/>
    <col min="15366" max="15366" width="48.125" style="83" customWidth="1"/>
    <col min="15367" max="15616" width="9" style="83"/>
    <col min="15617" max="15617" width="28.125" style="83" customWidth="1"/>
    <col min="15618" max="15618" width="10" style="83" customWidth="1"/>
    <col min="15619" max="15619" width="14.375" style="83" customWidth="1"/>
    <col min="15620" max="15620" width="8" style="83" customWidth="1"/>
    <col min="15621" max="15621" width="38" style="83" customWidth="1"/>
    <col min="15622" max="15622" width="48.125" style="83" customWidth="1"/>
    <col min="15623" max="15872" width="9" style="83"/>
    <col min="15873" max="15873" width="28.125" style="83" customWidth="1"/>
    <col min="15874" max="15874" width="10" style="83" customWidth="1"/>
    <col min="15875" max="15875" width="14.375" style="83" customWidth="1"/>
    <col min="15876" max="15876" width="8" style="83" customWidth="1"/>
    <col min="15877" max="15877" width="38" style="83" customWidth="1"/>
    <col min="15878" max="15878" width="48.125" style="83" customWidth="1"/>
    <col min="15879" max="16128" width="9" style="83"/>
    <col min="16129" max="16129" width="28.125" style="83" customWidth="1"/>
    <col min="16130" max="16130" width="10" style="83" customWidth="1"/>
    <col min="16131" max="16131" width="14.375" style="83" customWidth="1"/>
    <col min="16132" max="16132" width="8" style="83" customWidth="1"/>
    <col min="16133" max="16133" width="38" style="83" customWidth="1"/>
    <col min="16134" max="16134" width="48.125" style="83" customWidth="1"/>
    <col min="16135" max="16384" width="9" style="83"/>
  </cols>
  <sheetData>
    <row r="2" spans="1:6" s="80" customFormat="1" ht="75.75" customHeight="1">
      <c r="A2" s="79"/>
      <c r="B2" s="135" t="s">
        <v>0</v>
      </c>
      <c r="C2" s="135"/>
      <c r="D2" s="135"/>
      <c r="E2" s="135"/>
      <c r="F2" s="135"/>
    </row>
    <row r="3" spans="1:6">
      <c r="A3" s="81"/>
      <c r="B3" s="82"/>
      <c r="E3" s="84"/>
    </row>
    <row r="4" spans="1:6" ht="14.25" customHeight="1">
      <c r="A4" s="85" t="s">
        <v>1</v>
      </c>
      <c r="B4" s="136" t="s">
        <v>43</v>
      </c>
      <c r="C4" s="136"/>
      <c r="D4" s="136"/>
      <c r="E4" s="85" t="s">
        <v>2</v>
      </c>
      <c r="F4" s="86" t="s">
        <v>44</v>
      </c>
    </row>
    <row r="5" spans="1:6" ht="14.25" customHeight="1">
      <c r="A5" s="85" t="s">
        <v>3</v>
      </c>
      <c r="B5" s="136" t="s">
        <v>45</v>
      </c>
      <c r="C5" s="136"/>
      <c r="D5" s="136"/>
      <c r="E5" s="85" t="s">
        <v>4</v>
      </c>
      <c r="F5" s="87" t="s">
        <v>46</v>
      </c>
    </row>
    <row r="6" spans="1:6" ht="15.75" customHeight="1">
      <c r="A6" s="88" t="s">
        <v>5</v>
      </c>
      <c r="B6" s="137" t="str">
        <f>B5&amp;"_TestReport_v1.2"</f>
        <v>ARDEN_TestReport_v1.2</v>
      </c>
      <c r="C6" s="138"/>
      <c r="D6" s="139"/>
      <c r="E6" s="85" t="s">
        <v>6</v>
      </c>
      <c r="F6" s="89" t="s">
        <v>47</v>
      </c>
    </row>
    <row r="7" spans="1:6">
      <c r="A7" s="90"/>
      <c r="B7" s="82"/>
      <c r="E7" s="91"/>
      <c r="F7" s="82"/>
    </row>
    <row r="8" spans="1:6">
      <c r="A8" s="83"/>
    </row>
    <row r="9" spans="1:6">
      <c r="A9" s="92" t="s">
        <v>7</v>
      </c>
    </row>
    <row r="10" spans="1:6" s="96" customFormat="1">
      <c r="A10" s="93" t="s">
        <v>8</v>
      </c>
      <c r="B10" s="94" t="s">
        <v>6</v>
      </c>
      <c r="C10" s="94" t="s">
        <v>9</v>
      </c>
      <c r="D10" s="94" t="s">
        <v>10</v>
      </c>
      <c r="E10" s="94" t="s">
        <v>11</v>
      </c>
      <c r="F10" s="95" t="s">
        <v>12</v>
      </c>
    </row>
    <row r="11" spans="1:6" s="99" customFormat="1" ht="66" customHeight="1">
      <c r="A11" s="125" t="s">
        <v>46</v>
      </c>
      <c r="B11" s="126" t="s">
        <v>47</v>
      </c>
      <c r="C11" s="127" t="s">
        <v>48</v>
      </c>
      <c r="D11" s="127" t="s">
        <v>49</v>
      </c>
      <c r="E11" s="128" t="s">
        <v>2343</v>
      </c>
      <c r="F11" s="129" t="s">
        <v>2344</v>
      </c>
    </row>
    <row r="12" spans="1:6" s="99" customFormat="1" ht="21.75" customHeight="1">
      <c r="A12" s="100"/>
      <c r="B12" s="97"/>
      <c r="C12" s="98"/>
      <c r="D12" s="98"/>
      <c r="E12" s="98"/>
      <c r="F12" s="101"/>
    </row>
    <row r="13" spans="1:6" s="99" customFormat="1" ht="19.5" customHeight="1">
      <c r="A13" s="100"/>
      <c r="B13" s="97"/>
      <c r="C13" s="98"/>
      <c r="D13" s="98"/>
      <c r="E13" s="98"/>
      <c r="F13" s="101"/>
    </row>
    <row r="14" spans="1:6" s="99" customFormat="1" ht="21.75" customHeight="1">
      <c r="A14" s="100"/>
      <c r="B14" s="97"/>
      <c r="C14" s="98"/>
      <c r="D14" s="98"/>
      <c r="E14" s="98"/>
      <c r="F14" s="101"/>
    </row>
    <row r="15" spans="1:6" s="99" customFormat="1" ht="19.5" customHeight="1">
      <c r="A15" s="100"/>
      <c r="B15" s="97"/>
      <c r="C15" s="98"/>
      <c r="D15" s="98"/>
      <c r="E15" s="98"/>
      <c r="F15" s="101"/>
    </row>
    <row r="16" spans="1:6" s="99" customFormat="1" ht="21.75" customHeight="1">
      <c r="A16" s="100"/>
      <c r="B16" s="97"/>
      <c r="C16" s="98"/>
      <c r="D16" s="98"/>
      <c r="E16" s="98"/>
      <c r="F16" s="101"/>
    </row>
    <row r="17" spans="1:6" s="99" customFormat="1" ht="19.5" customHeight="1">
      <c r="A17" s="102"/>
      <c r="B17" s="103"/>
      <c r="C17" s="104"/>
      <c r="D17" s="104"/>
      <c r="E17" s="104"/>
      <c r="F17" s="105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/>
  </sheetViews>
  <sheetFormatPr defaultColWidth="9" defaultRowHeight="12.75"/>
  <cols>
    <col min="1" max="1" width="1.375" style="1" customWidth="1"/>
    <col min="2" max="2" width="11.8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42" t="s">
        <v>1</v>
      </c>
      <c r="C3" s="142"/>
      <c r="D3" s="143" t="str">
        <f>Cover!B4</f>
        <v>Arden</v>
      </c>
      <c r="E3" s="143"/>
      <c r="F3" s="143"/>
    </row>
    <row r="4" spans="2:6">
      <c r="B4" s="142" t="s">
        <v>3</v>
      </c>
      <c r="C4" s="142"/>
      <c r="D4" s="143" t="str">
        <f>Cover!B5</f>
        <v>ARDEN</v>
      </c>
      <c r="E4" s="143"/>
      <c r="F4" s="143"/>
    </row>
    <row r="5" spans="2:6" s="9" customFormat="1" ht="105.95" customHeight="1">
      <c r="B5" s="140" t="s">
        <v>14</v>
      </c>
      <c r="C5" s="140"/>
      <c r="D5" s="141" t="s">
        <v>50</v>
      </c>
      <c r="E5" s="141"/>
      <c r="F5" s="141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16</v>
      </c>
      <c r="D8" s="16" t="s">
        <v>17</v>
      </c>
      <c r="E8" s="17" t="s">
        <v>18</v>
      </c>
      <c r="F8" s="18" t="s">
        <v>19</v>
      </c>
    </row>
    <row r="9" spans="2:6" ht="53.1" customHeight="1">
      <c r="B9" s="130">
        <v>1</v>
      </c>
      <c r="C9" s="131" t="s">
        <v>51</v>
      </c>
      <c r="D9" s="132" t="s">
        <v>52</v>
      </c>
      <c r="E9" s="133" t="s">
        <v>53</v>
      </c>
      <c r="F9" s="134" t="s">
        <v>54</v>
      </c>
    </row>
    <row r="10" spans="2:6" ht="53.1" customHeight="1">
      <c r="B10" s="130">
        <v>2</v>
      </c>
      <c r="C10" s="131" t="s">
        <v>55</v>
      </c>
      <c r="D10" s="132" t="s">
        <v>56</v>
      </c>
      <c r="E10" s="133" t="s">
        <v>57</v>
      </c>
      <c r="F10" s="134" t="s">
        <v>58</v>
      </c>
    </row>
    <row r="11" spans="2:6" ht="53.1" customHeight="1">
      <c r="B11" s="130">
        <v>3</v>
      </c>
      <c r="C11" s="131" t="s">
        <v>59</v>
      </c>
      <c r="D11" s="132" t="s">
        <v>60</v>
      </c>
      <c r="E11" s="133" t="s">
        <v>61</v>
      </c>
      <c r="F11" s="134" t="s">
        <v>62</v>
      </c>
    </row>
    <row r="12" spans="2:6" ht="53.1" customHeight="1">
      <c r="B12" s="130">
        <v>4</v>
      </c>
      <c r="C12" s="131" t="s">
        <v>63</v>
      </c>
      <c r="D12" s="132" t="s">
        <v>64</v>
      </c>
      <c r="E12" s="133" t="s">
        <v>65</v>
      </c>
      <c r="F12" s="134" t="s">
        <v>66</v>
      </c>
    </row>
    <row r="13" spans="2:6" ht="53.1" customHeight="1">
      <c r="B13" s="130">
        <v>5</v>
      </c>
      <c r="C13" s="131" t="s">
        <v>67</v>
      </c>
      <c r="D13" s="132" t="s">
        <v>68</v>
      </c>
      <c r="E13" s="133" t="s">
        <v>69</v>
      </c>
      <c r="F13" s="134" t="s">
        <v>70</v>
      </c>
    </row>
    <row r="14" spans="2:6" ht="53.1" customHeight="1">
      <c r="B14" s="130">
        <v>6</v>
      </c>
      <c r="C14" s="131" t="s">
        <v>71</v>
      </c>
      <c r="D14" s="132" t="s">
        <v>72</v>
      </c>
      <c r="E14" s="133" t="s">
        <v>73</v>
      </c>
      <c r="F14" s="134" t="s">
        <v>74</v>
      </c>
    </row>
    <row r="15" spans="2:6" ht="53.1" customHeight="1">
      <c r="B15" s="130">
        <v>7</v>
      </c>
      <c r="C15" s="131" t="s">
        <v>75</v>
      </c>
      <c r="D15" s="132" t="s">
        <v>76</v>
      </c>
      <c r="E15" s="133" t="s">
        <v>77</v>
      </c>
      <c r="F15" s="134" t="s">
        <v>78</v>
      </c>
    </row>
    <row r="16" spans="2:6" ht="53.1" customHeight="1">
      <c r="B16" s="130">
        <v>8</v>
      </c>
      <c r="C16" s="131" t="s">
        <v>79</v>
      </c>
      <c r="D16" s="132" t="s">
        <v>80</v>
      </c>
      <c r="E16" s="133" t="s">
        <v>81</v>
      </c>
      <c r="F16" s="134" t="s">
        <v>82</v>
      </c>
    </row>
    <row r="17" spans="2:6" ht="53.1" customHeight="1">
      <c r="B17" s="130">
        <v>9</v>
      </c>
      <c r="C17" s="131" t="s">
        <v>83</v>
      </c>
      <c r="D17" s="132" t="s">
        <v>84</v>
      </c>
      <c r="E17" s="133" t="s">
        <v>85</v>
      </c>
      <c r="F17" s="134" t="s">
        <v>86</v>
      </c>
    </row>
    <row r="18" spans="2:6" ht="53.1" customHeight="1">
      <c r="B18" s="130">
        <v>10</v>
      </c>
      <c r="C18" s="131" t="s">
        <v>87</v>
      </c>
      <c r="D18" s="132" t="s">
        <v>88</v>
      </c>
      <c r="E18" s="133" t="s">
        <v>89</v>
      </c>
      <c r="F18" s="134" t="s">
        <v>90</v>
      </c>
    </row>
    <row r="19" spans="2:6">
      <c r="B19" s="19"/>
      <c r="C19" s="20"/>
      <c r="D19" s="22"/>
      <c r="E19" s="22"/>
      <c r="F19" s="21"/>
    </row>
    <row r="20" spans="2:6">
      <c r="B20" s="19"/>
      <c r="C20" s="20"/>
      <c r="D20" s="22"/>
      <c r="E20" s="22"/>
      <c r="F20" s="21"/>
    </row>
    <row r="21" spans="2:6">
      <c r="B21" s="23"/>
      <c r="C21" s="24"/>
      <c r="D21" s="25"/>
      <c r="E21" s="25"/>
      <c r="F21" s="26"/>
    </row>
  </sheetData>
  <mergeCells count="6">
    <mergeCell ref="B5:C5"/>
    <mergeCell ref="D5:F5"/>
    <mergeCell ref="B3:C3"/>
    <mergeCell ref="D3:F3"/>
    <mergeCell ref="B4:C4"/>
    <mergeCell ref="D4:F4"/>
  </mergeCells>
  <hyperlinks>
    <hyperlink ref="D9" location="Feature1!A1" display="Feature1" xr:uid="{00000000-0004-0000-0100-000000000000}"/>
    <hyperlink ref="D10" location="Feature1!A1" display="Feature2" xr:uid="{00000000-0004-0000-0100-000001000000}"/>
    <hyperlink ref="D11" location="Feature1!A1" display="Feature3" xr:uid="{00000000-0004-0000-0100-000002000000}"/>
    <hyperlink ref="D12" location="Feature1!A1" display="Feature4" xr:uid="{00000000-0004-0000-0100-000003000000}"/>
    <hyperlink ref="D13" location="Feature1!A1" display="Feature5" xr:uid="{00000000-0004-0000-0100-000004000000}"/>
    <hyperlink ref="D14" location="Feature1!A1" display="Feature6" xr:uid="{00000000-0004-0000-0100-000005000000}"/>
    <hyperlink ref="D15" location="Feature1!A1" display="Feature7" xr:uid="{00000000-0004-0000-0100-000006000000}"/>
    <hyperlink ref="D16" location="Feature1!A1" display="Feature8" xr:uid="{00000000-0004-0000-0100-000007000000}"/>
    <hyperlink ref="D17" location="Feature1!A1" display="Feature9" xr:uid="{00000000-0004-0000-0100-000008000000}"/>
    <hyperlink ref="D18" location="Feature1!A1" display="Manual Plan" xr:uid="{00000000-0004-0000-0100-00000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45" t="s">
        <v>20</v>
      </c>
      <c r="C1" s="145"/>
      <c r="D1" s="145"/>
      <c r="E1" s="145"/>
      <c r="F1" s="145"/>
      <c r="G1" s="145"/>
      <c r="H1" s="145"/>
    </row>
    <row r="2" spans="1:8" ht="14.25" customHeight="1">
      <c r="A2" s="39"/>
      <c r="B2" s="39"/>
      <c r="C2" s="40"/>
      <c r="D2" s="40"/>
      <c r="E2" s="40"/>
      <c r="F2" s="40"/>
      <c r="G2" s="40"/>
      <c r="H2" s="41"/>
    </row>
    <row r="3" spans="1:8" ht="12" customHeight="1">
      <c r="B3" s="2" t="s">
        <v>1</v>
      </c>
      <c r="C3" s="143" t="str">
        <f>Cover!B4</f>
        <v>Arden</v>
      </c>
      <c r="D3" s="143"/>
      <c r="E3" s="144" t="s">
        <v>2</v>
      </c>
      <c r="F3" s="144"/>
      <c r="G3" s="42" t="s">
        <v>44</v>
      </c>
      <c r="H3" s="43"/>
    </row>
    <row r="4" spans="1:8" ht="12" customHeight="1">
      <c r="B4" s="2" t="s">
        <v>3</v>
      </c>
      <c r="C4" s="143" t="str">
        <f>Cover!B5</f>
        <v>ARDEN</v>
      </c>
      <c r="D4" s="143"/>
      <c r="E4" s="144" t="s">
        <v>21</v>
      </c>
      <c r="F4" s="144"/>
      <c r="G4" s="42" t="s">
        <v>91</v>
      </c>
      <c r="H4" s="43"/>
    </row>
    <row r="5" spans="1:8" ht="12" customHeight="1">
      <c r="B5" s="44" t="s">
        <v>5</v>
      </c>
      <c r="C5" s="143" t="str">
        <f>Cover!B6</f>
        <v>ARDEN_TestReport_v1.2</v>
      </c>
      <c r="D5" s="143"/>
      <c r="E5" s="144" t="s">
        <v>4</v>
      </c>
      <c r="F5" s="144"/>
      <c r="G5" s="42"/>
      <c r="H5" s="45" t="s">
        <v>46</v>
      </c>
    </row>
    <row r="6" spans="1:8" ht="132.94999999999999" customHeight="1">
      <c r="A6" s="39"/>
      <c r="B6" s="44" t="s">
        <v>22</v>
      </c>
      <c r="C6" s="141" t="s">
        <v>2342</v>
      </c>
      <c r="D6" s="141"/>
      <c r="E6" s="141"/>
      <c r="F6" s="141"/>
      <c r="G6" s="141"/>
      <c r="H6" s="141"/>
    </row>
    <row r="7" spans="1:8" ht="14.25" customHeight="1">
      <c r="A7" s="39"/>
      <c r="B7" s="46"/>
      <c r="C7" s="47"/>
      <c r="D7" s="40"/>
      <c r="E7" s="40"/>
      <c r="F7" s="40"/>
      <c r="G7" s="40"/>
      <c r="H7" s="41"/>
    </row>
    <row r="8" spans="1:8">
      <c r="B8" s="46"/>
      <c r="C8" s="47"/>
      <c r="D8" s="40"/>
      <c r="E8" s="40"/>
      <c r="F8" s="40"/>
      <c r="G8" s="40"/>
      <c r="H8" s="41"/>
    </row>
    <row r="10" spans="1:8">
      <c r="A10" s="48"/>
      <c r="B10" s="49" t="s">
        <v>15</v>
      </c>
      <c r="C10" s="50" t="s">
        <v>23</v>
      </c>
      <c r="D10" s="51" t="s">
        <v>24</v>
      </c>
      <c r="E10" s="50" t="s">
        <v>25</v>
      </c>
      <c r="F10" s="50" t="s">
        <v>26</v>
      </c>
      <c r="G10" s="52" t="s">
        <v>92</v>
      </c>
      <c r="H10" s="53" t="s">
        <v>27</v>
      </c>
    </row>
    <row r="11" spans="1:8" ht="21.95" customHeight="1">
      <c r="A11" s="48"/>
      <c r="B11" s="54">
        <v>1</v>
      </c>
      <c r="C11" s="55" t="str">
        <f>'Feature 1'!B2</f>
        <v>UI Account &amp; Org</v>
      </c>
      <c r="D11" s="56">
        <f>'Feature 1'!B6</f>
        <v>70</v>
      </c>
      <c r="E11" s="56">
        <f>'Feature 1'!C6</f>
        <v>0</v>
      </c>
      <c r="F11" s="56">
        <f>'Feature 1'!D6</f>
        <v>0</v>
      </c>
      <c r="G11" s="56">
        <f>'Feature 1'!E6</f>
        <v>0</v>
      </c>
      <c r="H11" s="57">
        <f>'Feature 1'!B4</f>
        <v>70</v>
      </c>
    </row>
    <row r="12" spans="1:8" ht="21.95" customHeight="1">
      <c r="A12" s="48"/>
      <c r="B12" s="54">
        <v>2</v>
      </c>
      <c r="C12" s="55" t="str">
        <f>'Feature 2'!B2</f>
        <v>UI Knowledge/Notes</v>
      </c>
      <c r="D12" s="56">
        <f>'Feature 2'!B6</f>
        <v>63</v>
      </c>
      <c r="E12" s="56">
        <f>'Feature 2'!C6</f>
        <v>0</v>
      </c>
      <c r="F12" s="56">
        <f>'Feature 2'!D6</f>
        <v>0</v>
      </c>
      <c r="G12" s="56">
        <f>'Feature 2'!E6</f>
        <v>0</v>
      </c>
      <c r="H12" s="57">
        <f>'Feature 2'!B4</f>
        <v>63</v>
      </c>
    </row>
    <row r="13" spans="1:8" ht="21.95" customHeight="1">
      <c r="A13" s="48"/>
      <c r="B13" s="54">
        <v>3</v>
      </c>
      <c r="C13" s="55" t="str">
        <f>'Feature 3'!B2</f>
        <v>UI Workspace</v>
      </c>
      <c r="D13" s="56">
        <f>'Feature 3'!B6</f>
        <v>35</v>
      </c>
      <c r="E13" s="56">
        <f>'Feature 3'!C6</f>
        <v>0</v>
      </c>
      <c r="F13" s="56">
        <f>'Feature 3'!D6</f>
        <v>0</v>
      </c>
      <c r="G13" s="56">
        <f>'Feature 3'!E6</f>
        <v>0</v>
      </c>
      <c r="H13" s="57">
        <f>'Feature 3'!B4</f>
        <v>35</v>
      </c>
    </row>
    <row r="14" spans="1:8" ht="21.95" customHeight="1">
      <c r="A14" s="48"/>
      <c r="B14" s="54">
        <v>4</v>
      </c>
      <c r="C14" s="55" t="str">
        <f>'Feature 4'!B2</f>
        <v>API Auth &amp; App</v>
      </c>
      <c r="D14" s="56">
        <f>'Feature 4'!B6</f>
        <v>73</v>
      </c>
      <c r="E14" s="56">
        <f>'Feature 4'!C6</f>
        <v>0</v>
      </c>
      <c r="F14" s="56">
        <f>'Feature 4'!D6</f>
        <v>0</v>
      </c>
      <c r="G14" s="56">
        <f>'Feature 4'!E6</f>
        <v>1</v>
      </c>
      <c r="H14" s="57">
        <f>'Feature 4'!B4</f>
        <v>74</v>
      </c>
    </row>
    <row r="15" spans="1:8" ht="21.95" customHeight="1">
      <c r="B15" s="54">
        <v>5</v>
      </c>
      <c r="C15" s="55" t="str">
        <f>'Feature 5'!B2</f>
        <v>API Knowledge</v>
      </c>
      <c r="D15" s="56">
        <f>'Feature 5'!B6</f>
        <v>36</v>
      </c>
      <c r="E15" s="56">
        <f>'Feature 5'!C6</f>
        <v>0</v>
      </c>
      <c r="F15" s="56">
        <f>'Feature 5'!D6</f>
        <v>0</v>
      </c>
      <c r="G15" s="56">
        <f>'Feature 5'!E6</f>
        <v>0</v>
      </c>
      <c r="H15" s="57">
        <f>'Feature 5'!B4</f>
        <v>36</v>
      </c>
    </row>
    <row r="16" spans="1:8" ht="21.95" customHeight="1">
      <c r="B16" s="54">
        <v>6</v>
      </c>
      <c r="C16" s="55" t="str">
        <f>'Feature 6'!B2</f>
        <v>API Data &amp; Index</v>
      </c>
      <c r="D16" s="56">
        <f>'Feature 6'!B6</f>
        <v>27</v>
      </c>
      <c r="E16" s="56">
        <f>'Feature 6'!C6</f>
        <v>0</v>
      </c>
      <c r="F16" s="56">
        <f>'Feature 6'!D6</f>
        <v>0</v>
      </c>
      <c r="G16" s="56">
        <f>'Feature 6'!E6</f>
        <v>6</v>
      </c>
      <c r="H16" s="57">
        <f>'Feature 6'!B4</f>
        <v>33</v>
      </c>
    </row>
    <row r="17" spans="2:8" ht="21.95" customHeight="1">
      <c r="B17" s="54">
        <v>7</v>
      </c>
      <c r="C17" s="55" t="str">
        <f>'Feature 7'!B2</f>
        <v>Desktop &amp; Domain</v>
      </c>
      <c r="D17" s="56">
        <f>'Feature 7'!B6</f>
        <v>12</v>
      </c>
      <c r="E17" s="56">
        <f>'Feature 7'!C6</f>
        <v>0</v>
      </c>
      <c r="F17" s="56">
        <f>'Feature 7'!D6</f>
        <v>0</v>
      </c>
      <c r="G17" s="56">
        <f>'Feature 7'!E6</f>
        <v>0</v>
      </c>
      <c r="H17" s="57">
        <f>'Feature 7'!B4</f>
        <v>12</v>
      </c>
    </row>
    <row r="18" spans="2:8" ht="21.95" customHeight="1">
      <c r="B18" s="54">
        <v>8</v>
      </c>
      <c r="C18" s="55" t="str">
        <f>'Feature 8'!B2</f>
        <v>Remote Workflow</v>
      </c>
      <c r="D18" s="56">
        <f>'Feature 8'!B6</f>
        <v>16</v>
      </c>
      <c r="E18" s="56">
        <f>'Feature 8'!C6</f>
        <v>0</v>
      </c>
      <c r="F18" s="56">
        <f>'Feature 8'!D6</f>
        <v>0</v>
      </c>
      <c r="G18" s="56">
        <f>'Feature 8'!E6</f>
        <v>0</v>
      </c>
      <c r="H18" s="57">
        <f>'Feature 8'!B4</f>
        <v>16</v>
      </c>
    </row>
    <row r="19" spans="2:8" ht="21.95" customHeight="1">
      <c r="B19" s="54">
        <v>9</v>
      </c>
      <c r="C19" s="55" t="str">
        <f>'Feature 9'!B2</f>
        <v>Release &amp; PR</v>
      </c>
      <c r="D19" s="56">
        <f>'Feature 9'!B6</f>
        <v>48</v>
      </c>
      <c r="E19" s="56">
        <f>'Feature 9'!C6</f>
        <v>0</v>
      </c>
      <c r="F19" s="56">
        <f>'Feature 9'!D6</f>
        <v>0</v>
      </c>
      <c r="G19" s="56">
        <f>'Feature 9'!E6</f>
        <v>0</v>
      </c>
      <c r="H19" s="57">
        <f>'Feature 9'!B4</f>
        <v>48</v>
      </c>
    </row>
    <row r="21" spans="2:8" ht="23.1" customHeight="1">
      <c r="B21" s="58"/>
      <c r="C21" s="59" t="s">
        <v>93</v>
      </c>
      <c r="D21" s="60">
        <f>SUM(D11:D19)</f>
        <v>380</v>
      </c>
      <c r="E21" s="60">
        <f>SUM(E11:E19)</f>
        <v>0</v>
      </c>
      <c r="F21" s="60">
        <f>SUM(F11:F19)</f>
        <v>0</v>
      </c>
      <c r="G21" s="60">
        <f>SUM(G11:G19)</f>
        <v>7</v>
      </c>
      <c r="H21" s="61">
        <f>SUM(H11:H19)</f>
        <v>387</v>
      </c>
    </row>
    <row r="23" spans="2:8">
      <c r="C23" s="62" t="s">
        <v>94</v>
      </c>
      <c r="E23" s="63">
        <f>IFERROR((D21+E21)*100/(H21-G21),0)</f>
        <v>100</v>
      </c>
      <c r="F23" s="1" t="s">
        <v>95</v>
      </c>
      <c r="H23" s="32"/>
    </row>
    <row r="24" spans="2:8">
      <c r="C24" s="62" t="s">
        <v>96</v>
      </c>
      <c r="E24" s="63">
        <f>IFERROR(D21*100/(H21-G21),0)</f>
        <v>100</v>
      </c>
      <c r="F24" s="1" t="s">
        <v>95</v>
      </c>
      <c r="H24" s="3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89"/>
  <sheetViews>
    <sheetView workbookViewId="0">
      <pane ySplit="10" topLeftCell="A11" activePane="bottomLeft" state="frozen"/>
      <selection pane="bottomLeft"/>
    </sheetView>
  </sheetViews>
  <sheetFormatPr defaultColWidth="9" defaultRowHeight="12.75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/>
    <col min="8" max="8" width="7" style="1" customWidth="1"/>
    <col min="9" max="9" width="9.375" style="1" customWidth="1"/>
    <col min="10" max="10" width="10.625" style="1" customWidth="1"/>
    <col min="11" max="11" width="7" style="1" customWidth="1"/>
    <col min="12" max="12" width="9.375" style="1" customWidth="1"/>
    <col min="13" max="13" width="10.625" style="1" customWidth="1"/>
    <col min="14" max="14" width="7" style="1" customWidth="1"/>
    <col min="15" max="15" width="28.625" style="1" customWidth="1"/>
    <col min="16" max="16" width="10.125" style="1" customWidth="1"/>
    <col min="17" max="17" width="8.125" style="27" customWidth="1"/>
    <col min="18" max="18" width="7.625" style="1" hidden="1" customWidth="1"/>
    <col min="19" max="16384" width="9" style="1"/>
  </cols>
  <sheetData>
    <row r="2" spans="1:18" s="29" customFormat="1" ht="15" customHeight="1">
      <c r="A2" s="77" t="s">
        <v>28</v>
      </c>
      <c r="B2" s="146" t="s">
        <v>51</v>
      </c>
      <c r="C2" s="146"/>
      <c r="D2" s="146"/>
      <c r="E2" s="147"/>
      <c r="F2" s="67"/>
      <c r="G2" s="64"/>
      <c r="H2" s="9"/>
      <c r="I2" s="67"/>
      <c r="J2" s="64"/>
      <c r="K2" s="9"/>
      <c r="L2" s="67"/>
      <c r="M2" s="64"/>
      <c r="N2" s="9"/>
      <c r="O2" s="9"/>
      <c r="P2" s="9"/>
      <c r="Q2" s="28"/>
      <c r="R2" s="29" t="s">
        <v>24</v>
      </c>
    </row>
    <row r="3" spans="1:18" s="29" customFormat="1" ht="29.1" customHeight="1">
      <c r="A3" s="78" t="s">
        <v>29</v>
      </c>
      <c r="B3" s="148" t="s">
        <v>54</v>
      </c>
      <c r="C3" s="148"/>
      <c r="D3" s="148"/>
      <c r="E3" s="149"/>
      <c r="F3" s="67"/>
      <c r="G3" s="64"/>
      <c r="H3" s="9"/>
      <c r="I3" s="67"/>
      <c r="J3" s="64"/>
      <c r="K3" s="9"/>
      <c r="L3" s="67"/>
      <c r="M3" s="64"/>
      <c r="N3" s="9"/>
      <c r="O3" s="9"/>
      <c r="P3" s="9"/>
      <c r="Q3" s="28"/>
      <c r="R3" s="29" t="s">
        <v>25</v>
      </c>
    </row>
    <row r="4" spans="1:18" s="29" customFormat="1" ht="18" customHeight="1">
      <c r="A4" s="78" t="s">
        <v>30</v>
      </c>
      <c r="B4" s="148">
        <f>COUNTA($F$12:$F$998)</f>
        <v>70</v>
      </c>
      <c r="C4" s="148"/>
      <c r="D4" s="148"/>
      <c r="E4" s="149"/>
      <c r="F4" s="67"/>
      <c r="G4" s="64"/>
      <c r="H4" s="9"/>
      <c r="I4" s="67"/>
      <c r="J4" s="64"/>
      <c r="K4" s="9"/>
      <c r="L4" s="67"/>
      <c r="M4" s="64"/>
      <c r="N4" s="9"/>
      <c r="O4" s="9"/>
      <c r="P4" s="9"/>
      <c r="Q4" s="28"/>
      <c r="R4" s="29" t="s">
        <v>26</v>
      </c>
    </row>
    <row r="5" spans="1:18" s="29" customFormat="1" ht="19.5" customHeight="1">
      <c r="A5" s="71" t="s">
        <v>31</v>
      </c>
      <c r="B5" s="69" t="s">
        <v>24</v>
      </c>
      <c r="C5" s="69" t="s">
        <v>25</v>
      </c>
      <c r="D5" s="69" t="s">
        <v>26</v>
      </c>
      <c r="E5" s="72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s="29" customFormat="1" ht="15" customHeight="1">
      <c r="A6" s="71" t="s">
        <v>32</v>
      </c>
      <c r="B6" s="70">
        <f>COUNTIF($F$12:$F$998,B$5)</f>
        <v>70</v>
      </c>
      <c r="C6" s="70">
        <f t="shared" ref="C6:E6" si="0">COUNTIF($F$12:$F$998,C$5)</f>
        <v>0</v>
      </c>
      <c r="D6" s="70">
        <f t="shared" si="0"/>
        <v>0</v>
      </c>
      <c r="E6" s="76">
        <f t="shared" si="0"/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</row>
    <row r="7" spans="1:18" s="29" customFormat="1" ht="15" customHeight="1">
      <c r="A7" s="71" t="s">
        <v>33</v>
      </c>
      <c r="B7" s="70">
        <f>COUNTIF($I$12:$I$998,B$5)</f>
        <v>0</v>
      </c>
      <c r="C7" s="70">
        <f t="shared" ref="C7:E7" si="1">COUNTIF($I$12:$I$998,C$5)</f>
        <v>0</v>
      </c>
      <c r="D7" s="70">
        <f t="shared" si="1"/>
        <v>0</v>
      </c>
      <c r="E7" s="76">
        <f t="shared" si="1"/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</row>
    <row r="8" spans="1:18" s="29" customFormat="1" ht="15" customHeight="1">
      <c r="A8" s="73" t="s">
        <v>34</v>
      </c>
      <c r="B8" s="74">
        <f>COUNTIF($L$12:$L$998,B$5)</f>
        <v>0</v>
      </c>
      <c r="C8" s="74">
        <f t="shared" ref="C8:E8" si="2">COUNTIF($L$12:$L$998,C$5)</f>
        <v>0</v>
      </c>
      <c r="D8" s="74">
        <f t="shared" si="2"/>
        <v>0</v>
      </c>
      <c r="E8" s="75">
        <f t="shared" si="2"/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68" t="s">
        <v>35</v>
      </c>
      <c r="B10" s="68" t="s">
        <v>36</v>
      </c>
      <c r="C10" s="68" t="s">
        <v>37</v>
      </c>
      <c r="D10" s="68" t="s">
        <v>38</v>
      </c>
      <c r="E10" s="68" t="s">
        <v>39</v>
      </c>
      <c r="F10" s="68" t="s">
        <v>32</v>
      </c>
      <c r="G10" s="68" t="s">
        <v>40</v>
      </c>
      <c r="H10" s="68" t="s">
        <v>41</v>
      </c>
      <c r="I10" s="68" t="s">
        <v>33</v>
      </c>
      <c r="J10" s="68" t="s">
        <v>40</v>
      </c>
      <c r="K10" s="68" t="s">
        <v>41</v>
      </c>
      <c r="L10" s="68" t="s">
        <v>34</v>
      </c>
      <c r="M10" s="68" t="s">
        <v>40</v>
      </c>
      <c r="N10" s="68" t="s">
        <v>41</v>
      </c>
      <c r="O10" s="68" t="s">
        <v>42</v>
      </c>
      <c r="Q10" s="33"/>
    </row>
    <row r="11" spans="1:18" s="29" customFormat="1" ht="27" customHeight="1">
      <c r="A11" s="121" t="s">
        <v>97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Q11" s="34"/>
    </row>
    <row r="12" spans="1:18" s="37" customFormat="1" ht="120" customHeight="1">
      <c r="A12" s="35" t="s">
        <v>98</v>
      </c>
      <c r="B12" s="35" t="s">
        <v>99</v>
      </c>
      <c r="C12" s="35" t="s">
        <v>100</v>
      </c>
      <c r="D12" s="38" t="s">
        <v>101</v>
      </c>
      <c r="E12" s="38" t="s">
        <v>102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1958</v>
      </c>
      <c r="Q12" s="36"/>
    </row>
    <row r="13" spans="1:18" ht="120" customHeight="1">
      <c r="A13" s="35" t="s">
        <v>103</v>
      </c>
      <c r="B13" s="35" t="s">
        <v>104</v>
      </c>
      <c r="C13" s="35" t="s">
        <v>105</v>
      </c>
      <c r="D13" s="38" t="s">
        <v>106</v>
      </c>
      <c r="E13" s="38" t="s">
        <v>102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1959</v>
      </c>
      <c r="Q13" s="36"/>
    </row>
    <row r="14" spans="1:18" ht="120" customHeight="1">
      <c r="A14" s="35" t="s">
        <v>107</v>
      </c>
      <c r="B14" s="35" t="s">
        <v>108</v>
      </c>
      <c r="C14" s="35" t="s">
        <v>109</v>
      </c>
      <c r="D14" s="38" t="s">
        <v>110</v>
      </c>
      <c r="E14" s="38" t="s">
        <v>102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1960</v>
      </c>
      <c r="Q14" s="36"/>
    </row>
    <row r="15" spans="1:18" s="29" customFormat="1" ht="132.94999999999999" customHeight="1">
      <c r="A15" s="35" t="s">
        <v>111</v>
      </c>
      <c r="B15" s="35" t="s">
        <v>112</v>
      </c>
      <c r="C15" s="35" t="s">
        <v>113</v>
      </c>
      <c r="D15" s="38" t="s">
        <v>114</v>
      </c>
      <c r="E15" s="38" t="s">
        <v>102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1961</v>
      </c>
      <c r="Q15" s="34"/>
    </row>
    <row r="16" spans="1:18" ht="27" customHeight="1">
      <c r="A16" s="121" t="s">
        <v>115</v>
      </c>
      <c r="B16" s="121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3"/>
      <c r="Q16" s="36"/>
    </row>
    <row r="17" spans="1:17" ht="132.94999999999999" customHeight="1">
      <c r="A17" s="35" t="s">
        <v>116</v>
      </c>
      <c r="B17" s="35" t="s">
        <v>117</v>
      </c>
      <c r="C17" s="35" t="s">
        <v>118</v>
      </c>
      <c r="D17" s="38" t="s">
        <v>119</v>
      </c>
      <c r="E17" s="38" t="s">
        <v>102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1962</v>
      </c>
    </row>
    <row r="18" spans="1:17" s="29" customFormat="1" ht="120" customHeight="1">
      <c r="A18" s="35" t="s">
        <v>120</v>
      </c>
      <c r="B18" s="35" t="s">
        <v>121</v>
      </c>
      <c r="C18" s="35" t="s">
        <v>122</v>
      </c>
      <c r="D18" s="38" t="s">
        <v>123</v>
      </c>
      <c r="E18" s="38" t="s">
        <v>102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1963</v>
      </c>
      <c r="Q18" s="34"/>
    </row>
    <row r="19" spans="1:17" ht="120" customHeight="1">
      <c r="A19" s="35" t="s">
        <v>124</v>
      </c>
      <c r="B19" s="35" t="s">
        <v>125</v>
      </c>
      <c r="C19" s="35" t="s">
        <v>126</v>
      </c>
      <c r="D19" s="38" t="s">
        <v>127</v>
      </c>
      <c r="E19" s="38" t="s">
        <v>102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1964</v>
      </c>
      <c r="Q19" s="36"/>
    </row>
    <row r="20" spans="1:17" ht="132.94999999999999" customHeight="1">
      <c r="A20" s="35" t="s">
        <v>128</v>
      </c>
      <c r="B20" s="35" t="s">
        <v>129</v>
      </c>
      <c r="C20" s="35" t="s">
        <v>130</v>
      </c>
      <c r="D20" s="38" t="s">
        <v>131</v>
      </c>
      <c r="E20" s="38" t="s">
        <v>102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1965</v>
      </c>
    </row>
    <row r="21" spans="1:17" ht="132.94999999999999" customHeight="1">
      <c r="A21" s="35" t="s">
        <v>132</v>
      </c>
      <c r="B21" s="35" t="s">
        <v>133</v>
      </c>
      <c r="C21" s="35" t="s">
        <v>134</v>
      </c>
      <c r="D21" s="38" t="s">
        <v>135</v>
      </c>
      <c r="E21" s="38" t="s">
        <v>102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1966</v>
      </c>
    </row>
    <row r="22" spans="1:17" ht="27" customHeight="1">
      <c r="A22" s="121" t="s">
        <v>136</v>
      </c>
      <c r="B22" s="121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3"/>
    </row>
    <row r="23" spans="1:17" ht="120" customHeight="1">
      <c r="A23" s="35" t="s">
        <v>137</v>
      </c>
      <c r="B23" s="35" t="s">
        <v>138</v>
      </c>
      <c r="C23" s="35" t="s">
        <v>139</v>
      </c>
      <c r="D23" s="38" t="s">
        <v>140</v>
      </c>
      <c r="E23" s="38" t="s">
        <v>102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1967</v>
      </c>
    </row>
    <row r="24" spans="1:17" ht="132.94999999999999" customHeight="1">
      <c r="A24" s="35" t="s">
        <v>141</v>
      </c>
      <c r="B24" s="35" t="s">
        <v>142</v>
      </c>
      <c r="C24" s="35" t="s">
        <v>143</v>
      </c>
      <c r="D24" s="38" t="s">
        <v>144</v>
      </c>
      <c r="E24" s="38" t="s">
        <v>102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1968</v>
      </c>
    </row>
    <row r="25" spans="1:17" ht="132.94999999999999" customHeight="1">
      <c r="A25" s="35" t="s">
        <v>145</v>
      </c>
      <c r="B25" s="35" t="s">
        <v>146</v>
      </c>
      <c r="C25" s="35" t="s">
        <v>147</v>
      </c>
      <c r="D25" s="38" t="s">
        <v>148</v>
      </c>
      <c r="E25" s="38" t="s">
        <v>102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1969</v>
      </c>
    </row>
    <row r="26" spans="1:17" ht="27" customHeight="1">
      <c r="A26" s="121" t="s">
        <v>149</v>
      </c>
      <c r="B26" s="121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3"/>
    </row>
    <row r="27" spans="1:17" ht="132.94999999999999" customHeight="1">
      <c r="A27" s="35" t="s">
        <v>150</v>
      </c>
      <c r="B27" s="35" t="s">
        <v>151</v>
      </c>
      <c r="C27" s="35" t="s">
        <v>152</v>
      </c>
      <c r="D27" s="38" t="s">
        <v>153</v>
      </c>
      <c r="E27" s="38" t="s">
        <v>102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1970</v>
      </c>
    </row>
    <row r="28" spans="1:17" ht="146.1" customHeight="1">
      <c r="A28" s="35" t="s">
        <v>154</v>
      </c>
      <c r="B28" s="35" t="s">
        <v>155</v>
      </c>
      <c r="C28" s="35" t="s">
        <v>156</v>
      </c>
      <c r="D28" s="38" t="s">
        <v>157</v>
      </c>
      <c r="E28" s="38" t="s">
        <v>102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1971</v>
      </c>
    </row>
    <row r="29" spans="1:17" ht="132.94999999999999" customHeight="1">
      <c r="A29" s="35" t="s">
        <v>158</v>
      </c>
      <c r="B29" s="35" t="s">
        <v>159</v>
      </c>
      <c r="C29" s="35" t="s">
        <v>160</v>
      </c>
      <c r="D29" s="38" t="s">
        <v>161</v>
      </c>
      <c r="E29" s="38" t="s">
        <v>102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1972</v>
      </c>
    </row>
    <row r="30" spans="1:17" ht="132.94999999999999" customHeight="1">
      <c r="A30" s="35" t="s">
        <v>162</v>
      </c>
      <c r="B30" s="35" t="s">
        <v>163</v>
      </c>
      <c r="C30" s="35" t="s">
        <v>164</v>
      </c>
      <c r="D30" s="38" t="s">
        <v>165</v>
      </c>
      <c r="E30" s="38" t="s">
        <v>102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1973</v>
      </c>
    </row>
    <row r="31" spans="1:17" ht="132.94999999999999" customHeight="1">
      <c r="A31" s="35" t="s">
        <v>166</v>
      </c>
      <c r="B31" s="35" t="s">
        <v>167</v>
      </c>
      <c r="C31" s="35" t="s">
        <v>168</v>
      </c>
      <c r="D31" s="38" t="s">
        <v>169</v>
      </c>
      <c r="E31" s="38" t="s">
        <v>102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1974</v>
      </c>
    </row>
    <row r="32" spans="1:17" ht="132.94999999999999" customHeight="1">
      <c r="A32" s="35" t="s">
        <v>170</v>
      </c>
      <c r="B32" s="35" t="s">
        <v>171</v>
      </c>
      <c r="C32" s="35" t="s">
        <v>172</v>
      </c>
      <c r="D32" s="38" t="s">
        <v>173</v>
      </c>
      <c r="E32" s="38" t="s">
        <v>102</v>
      </c>
      <c r="F32" s="35" t="s">
        <v>24</v>
      </c>
      <c r="G32" s="35"/>
      <c r="H32" s="35" t="s">
        <v>1957</v>
      </c>
      <c r="I32" s="35"/>
      <c r="J32" s="35"/>
      <c r="K32" s="35"/>
      <c r="L32" s="35"/>
      <c r="M32" s="35"/>
      <c r="N32" s="35"/>
      <c r="O32" s="35" t="s">
        <v>1975</v>
      </c>
    </row>
    <row r="33" spans="1:15" ht="27" customHeight="1">
      <c r="A33" s="121" t="s">
        <v>174</v>
      </c>
      <c r="B33" s="121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 ht="146.1" customHeight="1">
      <c r="A34" s="35" t="s">
        <v>175</v>
      </c>
      <c r="B34" s="35" t="s">
        <v>176</v>
      </c>
      <c r="C34" s="35" t="s">
        <v>177</v>
      </c>
      <c r="D34" s="38" t="s">
        <v>178</v>
      </c>
      <c r="E34" s="38" t="s">
        <v>102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1976</v>
      </c>
    </row>
    <row r="35" spans="1:15" ht="120" customHeight="1">
      <c r="A35" s="35" t="s">
        <v>179</v>
      </c>
      <c r="B35" s="35" t="s">
        <v>180</v>
      </c>
      <c r="C35" s="35" t="s">
        <v>181</v>
      </c>
      <c r="D35" s="38" t="s">
        <v>182</v>
      </c>
      <c r="E35" s="38" t="s">
        <v>102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1977</v>
      </c>
    </row>
    <row r="36" spans="1:15" ht="132.94999999999999" customHeight="1">
      <c r="A36" s="35" t="s">
        <v>183</v>
      </c>
      <c r="B36" s="35" t="s">
        <v>184</v>
      </c>
      <c r="C36" s="35" t="s">
        <v>185</v>
      </c>
      <c r="D36" s="38" t="s">
        <v>186</v>
      </c>
      <c r="E36" s="38" t="s">
        <v>102</v>
      </c>
      <c r="F36" s="35" t="s">
        <v>24</v>
      </c>
      <c r="G36" s="35"/>
      <c r="H36" s="35" t="s">
        <v>1957</v>
      </c>
      <c r="I36" s="35"/>
      <c r="J36" s="35"/>
      <c r="K36" s="35"/>
      <c r="L36" s="35"/>
      <c r="M36" s="35"/>
      <c r="N36" s="35"/>
      <c r="O36" s="35" t="s">
        <v>1978</v>
      </c>
    </row>
    <row r="37" spans="1:15" ht="132.94999999999999" customHeight="1">
      <c r="A37" s="35" t="s">
        <v>187</v>
      </c>
      <c r="B37" s="35" t="s">
        <v>188</v>
      </c>
      <c r="C37" s="35" t="s">
        <v>189</v>
      </c>
      <c r="D37" s="38" t="s">
        <v>190</v>
      </c>
      <c r="E37" s="38" t="s">
        <v>102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1979</v>
      </c>
    </row>
    <row r="38" spans="1:15" ht="132.94999999999999" customHeight="1">
      <c r="A38" s="35" t="s">
        <v>191</v>
      </c>
      <c r="B38" s="35" t="s">
        <v>192</v>
      </c>
      <c r="C38" s="35" t="s">
        <v>193</v>
      </c>
      <c r="D38" s="38" t="s">
        <v>194</v>
      </c>
      <c r="E38" s="38" t="s">
        <v>102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1980</v>
      </c>
    </row>
    <row r="39" spans="1:15" ht="27" customHeight="1">
      <c r="A39" s="121" t="s">
        <v>195</v>
      </c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3"/>
    </row>
    <row r="40" spans="1:15" ht="132.94999999999999" customHeight="1">
      <c r="A40" s="35" t="s">
        <v>196</v>
      </c>
      <c r="B40" s="35" t="s">
        <v>197</v>
      </c>
      <c r="C40" s="35" t="s">
        <v>198</v>
      </c>
      <c r="D40" s="38" t="s">
        <v>199</v>
      </c>
      <c r="E40" s="38" t="s">
        <v>102</v>
      </c>
      <c r="F40" s="35" t="s">
        <v>24</v>
      </c>
      <c r="G40" s="35"/>
      <c r="H40" s="35" t="s">
        <v>1957</v>
      </c>
      <c r="I40" s="35"/>
      <c r="J40" s="35"/>
      <c r="K40" s="35"/>
      <c r="L40" s="35"/>
      <c r="M40" s="35"/>
      <c r="N40" s="35"/>
      <c r="O40" s="35" t="s">
        <v>1981</v>
      </c>
    </row>
    <row r="41" spans="1:15" ht="132.94999999999999" customHeight="1">
      <c r="A41" s="35" t="s">
        <v>200</v>
      </c>
      <c r="B41" s="35" t="s">
        <v>201</v>
      </c>
      <c r="C41" s="35" t="s">
        <v>202</v>
      </c>
      <c r="D41" s="38" t="s">
        <v>203</v>
      </c>
      <c r="E41" s="38" t="s">
        <v>102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1982</v>
      </c>
    </row>
    <row r="42" spans="1:15" ht="132.94999999999999" customHeight="1">
      <c r="A42" s="35" t="s">
        <v>204</v>
      </c>
      <c r="B42" s="35" t="s">
        <v>205</v>
      </c>
      <c r="C42" s="35" t="s">
        <v>206</v>
      </c>
      <c r="D42" s="38" t="s">
        <v>207</v>
      </c>
      <c r="E42" s="38" t="s">
        <v>102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1983</v>
      </c>
    </row>
    <row r="43" spans="1:15" ht="132.94999999999999" customHeight="1">
      <c r="A43" s="35" t="s">
        <v>208</v>
      </c>
      <c r="B43" s="35" t="s">
        <v>209</v>
      </c>
      <c r="C43" s="35" t="s">
        <v>210</v>
      </c>
      <c r="D43" s="38" t="s">
        <v>211</v>
      </c>
      <c r="E43" s="38" t="s">
        <v>102</v>
      </c>
      <c r="F43" s="35" t="s">
        <v>24</v>
      </c>
      <c r="G43" s="35"/>
      <c r="H43" s="35" t="s">
        <v>1957</v>
      </c>
      <c r="I43" s="35"/>
      <c r="J43" s="35"/>
      <c r="K43" s="35"/>
      <c r="L43" s="35"/>
      <c r="M43" s="35"/>
      <c r="N43" s="35"/>
      <c r="O43" s="35" t="s">
        <v>1984</v>
      </c>
    </row>
    <row r="44" spans="1:15" ht="120" customHeight="1">
      <c r="A44" s="35" t="s">
        <v>212</v>
      </c>
      <c r="B44" s="35" t="s">
        <v>213</v>
      </c>
      <c r="C44" s="35" t="s">
        <v>214</v>
      </c>
      <c r="D44" s="38" t="s">
        <v>215</v>
      </c>
      <c r="E44" s="38" t="s">
        <v>102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1985</v>
      </c>
    </row>
    <row r="45" spans="1:15" ht="132.94999999999999" customHeight="1">
      <c r="A45" s="35" t="s">
        <v>216</v>
      </c>
      <c r="B45" s="35" t="s">
        <v>217</v>
      </c>
      <c r="C45" s="35" t="s">
        <v>218</v>
      </c>
      <c r="D45" s="38" t="s">
        <v>219</v>
      </c>
      <c r="E45" s="38" t="s">
        <v>102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1986</v>
      </c>
    </row>
    <row r="46" spans="1:15" ht="132.94999999999999" customHeight="1">
      <c r="A46" s="35" t="s">
        <v>220</v>
      </c>
      <c r="B46" s="35" t="s">
        <v>221</v>
      </c>
      <c r="C46" s="35" t="s">
        <v>222</v>
      </c>
      <c r="D46" s="38" t="s">
        <v>223</v>
      </c>
      <c r="E46" s="38" t="s">
        <v>102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1987</v>
      </c>
    </row>
    <row r="47" spans="1:15" ht="132.94999999999999" customHeight="1">
      <c r="A47" s="35" t="s">
        <v>224</v>
      </c>
      <c r="B47" s="35" t="s">
        <v>225</v>
      </c>
      <c r="C47" s="35" t="s">
        <v>226</v>
      </c>
      <c r="D47" s="38" t="s">
        <v>227</v>
      </c>
      <c r="E47" s="38" t="s">
        <v>102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1988</v>
      </c>
    </row>
    <row r="48" spans="1:15" ht="132.94999999999999" customHeight="1">
      <c r="A48" s="35" t="s">
        <v>228</v>
      </c>
      <c r="B48" s="35" t="s">
        <v>229</v>
      </c>
      <c r="C48" s="35" t="s">
        <v>230</v>
      </c>
      <c r="D48" s="38" t="s">
        <v>231</v>
      </c>
      <c r="E48" s="38" t="s">
        <v>102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1989</v>
      </c>
    </row>
    <row r="49" spans="1:15" ht="132.94999999999999" customHeight="1">
      <c r="A49" s="35" t="s">
        <v>232</v>
      </c>
      <c r="B49" s="35" t="s">
        <v>233</v>
      </c>
      <c r="C49" s="35" t="s">
        <v>234</v>
      </c>
      <c r="D49" s="38" t="s">
        <v>235</v>
      </c>
      <c r="E49" s="38" t="s">
        <v>102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1990</v>
      </c>
    </row>
    <row r="50" spans="1:15" ht="132.94999999999999" customHeight="1">
      <c r="A50" s="35" t="s">
        <v>236</v>
      </c>
      <c r="B50" s="35" t="s">
        <v>237</v>
      </c>
      <c r="C50" s="35" t="s">
        <v>238</v>
      </c>
      <c r="D50" s="38" t="s">
        <v>239</v>
      </c>
      <c r="E50" s="38" t="s">
        <v>102</v>
      </c>
      <c r="F50" s="35" t="s">
        <v>24</v>
      </c>
      <c r="G50" s="35"/>
      <c r="H50" s="35" t="s">
        <v>1957</v>
      </c>
      <c r="I50" s="35"/>
      <c r="J50" s="35"/>
      <c r="K50" s="35"/>
      <c r="L50" s="35"/>
      <c r="M50" s="35"/>
      <c r="N50" s="35"/>
      <c r="O50" s="35" t="s">
        <v>1991</v>
      </c>
    </row>
    <row r="51" spans="1:15" ht="132.94999999999999" customHeight="1">
      <c r="A51" s="35" t="s">
        <v>240</v>
      </c>
      <c r="B51" s="35" t="s">
        <v>241</v>
      </c>
      <c r="C51" s="35" t="s">
        <v>242</v>
      </c>
      <c r="D51" s="38" t="s">
        <v>243</v>
      </c>
      <c r="E51" s="38" t="s">
        <v>102</v>
      </c>
      <c r="F51" s="35" t="s">
        <v>24</v>
      </c>
      <c r="G51" s="35"/>
      <c r="H51" s="35" t="s">
        <v>1957</v>
      </c>
      <c r="I51" s="35"/>
      <c r="J51" s="35"/>
      <c r="K51" s="35"/>
      <c r="L51" s="35"/>
      <c r="M51" s="35"/>
      <c r="N51" s="35"/>
      <c r="O51" s="35" t="s">
        <v>1992</v>
      </c>
    </row>
    <row r="52" spans="1:15" ht="146.1" customHeight="1">
      <c r="A52" s="35" t="s">
        <v>244</v>
      </c>
      <c r="B52" s="35" t="s">
        <v>245</v>
      </c>
      <c r="C52" s="35" t="s">
        <v>246</v>
      </c>
      <c r="D52" s="38" t="s">
        <v>247</v>
      </c>
      <c r="E52" s="38" t="s">
        <v>102</v>
      </c>
      <c r="F52" s="35" t="s">
        <v>24</v>
      </c>
      <c r="G52" s="35"/>
      <c r="H52" s="35" t="s">
        <v>1957</v>
      </c>
      <c r="I52" s="35"/>
      <c r="J52" s="35"/>
      <c r="K52" s="35"/>
      <c r="L52" s="35"/>
      <c r="M52" s="35"/>
      <c r="N52" s="35"/>
      <c r="O52" s="35" t="s">
        <v>1993</v>
      </c>
    </row>
    <row r="53" spans="1:15" ht="132.94999999999999" customHeight="1">
      <c r="A53" s="35" t="s">
        <v>248</v>
      </c>
      <c r="B53" s="35" t="s">
        <v>249</v>
      </c>
      <c r="C53" s="35" t="s">
        <v>250</v>
      </c>
      <c r="D53" s="38" t="s">
        <v>251</v>
      </c>
      <c r="E53" s="38" t="s">
        <v>102</v>
      </c>
      <c r="F53" s="35" t="s">
        <v>24</v>
      </c>
      <c r="G53" s="35"/>
      <c r="H53" s="35" t="s">
        <v>1957</v>
      </c>
      <c r="I53" s="35"/>
      <c r="J53" s="35"/>
      <c r="K53" s="35"/>
      <c r="L53" s="35"/>
      <c r="M53" s="35"/>
      <c r="N53" s="35"/>
      <c r="O53" s="35" t="s">
        <v>1994</v>
      </c>
    </row>
    <row r="54" spans="1:15" ht="132.94999999999999" customHeight="1">
      <c r="A54" s="35" t="s">
        <v>252</v>
      </c>
      <c r="B54" s="35" t="s">
        <v>253</v>
      </c>
      <c r="C54" s="35" t="s">
        <v>254</v>
      </c>
      <c r="D54" s="38" t="s">
        <v>255</v>
      </c>
      <c r="E54" s="38" t="s">
        <v>102</v>
      </c>
      <c r="F54" s="35" t="s">
        <v>24</v>
      </c>
      <c r="G54" s="35"/>
      <c r="H54" s="35" t="s">
        <v>1957</v>
      </c>
      <c r="I54" s="35"/>
      <c r="J54" s="35"/>
      <c r="K54" s="35"/>
      <c r="L54" s="35"/>
      <c r="M54" s="35"/>
      <c r="N54" s="35"/>
      <c r="O54" s="35" t="s">
        <v>1995</v>
      </c>
    </row>
    <row r="55" spans="1:15" ht="132.94999999999999" customHeight="1">
      <c r="A55" s="35" t="s">
        <v>256</v>
      </c>
      <c r="B55" s="35" t="s">
        <v>257</v>
      </c>
      <c r="C55" s="35" t="s">
        <v>258</v>
      </c>
      <c r="D55" s="38" t="s">
        <v>259</v>
      </c>
      <c r="E55" s="38" t="s">
        <v>102</v>
      </c>
      <c r="F55" s="35" t="s">
        <v>24</v>
      </c>
      <c r="G55" s="35"/>
      <c r="H55" s="35" t="s">
        <v>1957</v>
      </c>
      <c r="I55" s="35"/>
      <c r="J55" s="35"/>
      <c r="K55" s="35"/>
      <c r="L55" s="35"/>
      <c r="M55" s="35"/>
      <c r="N55" s="35"/>
      <c r="O55" s="35" t="s">
        <v>1996</v>
      </c>
    </row>
    <row r="56" spans="1:15" ht="132.94999999999999" customHeight="1">
      <c r="A56" s="35" t="s">
        <v>260</v>
      </c>
      <c r="B56" s="35" t="s">
        <v>261</v>
      </c>
      <c r="C56" s="35" t="s">
        <v>262</v>
      </c>
      <c r="D56" s="38" t="s">
        <v>263</v>
      </c>
      <c r="E56" s="38" t="s">
        <v>102</v>
      </c>
      <c r="F56" s="35" t="s">
        <v>24</v>
      </c>
      <c r="G56" s="35"/>
      <c r="H56" s="35" t="s">
        <v>1957</v>
      </c>
      <c r="I56" s="35"/>
      <c r="J56" s="35"/>
      <c r="K56" s="35"/>
      <c r="L56" s="35"/>
      <c r="M56" s="35"/>
      <c r="N56" s="35"/>
      <c r="O56" s="35" t="s">
        <v>1997</v>
      </c>
    </row>
    <row r="57" spans="1:15" ht="132.94999999999999" customHeight="1">
      <c r="A57" s="35" t="s">
        <v>264</v>
      </c>
      <c r="B57" s="35" t="s">
        <v>265</v>
      </c>
      <c r="C57" s="35" t="s">
        <v>266</v>
      </c>
      <c r="D57" s="38" t="s">
        <v>267</v>
      </c>
      <c r="E57" s="38" t="s">
        <v>102</v>
      </c>
      <c r="F57" s="35" t="s">
        <v>24</v>
      </c>
      <c r="G57" s="35"/>
      <c r="H57" s="35" t="s">
        <v>1957</v>
      </c>
      <c r="I57" s="35"/>
      <c r="J57" s="35"/>
      <c r="K57" s="35"/>
      <c r="L57" s="35"/>
      <c r="M57" s="35"/>
      <c r="N57" s="35"/>
      <c r="O57" s="35" t="s">
        <v>1998</v>
      </c>
    </row>
    <row r="58" spans="1:15" ht="132.94999999999999" customHeight="1">
      <c r="A58" s="35" t="s">
        <v>268</v>
      </c>
      <c r="B58" s="35" t="s">
        <v>269</v>
      </c>
      <c r="C58" s="35" t="s">
        <v>270</v>
      </c>
      <c r="D58" s="38" t="s">
        <v>271</v>
      </c>
      <c r="E58" s="38" t="s">
        <v>102</v>
      </c>
      <c r="F58" s="35" t="s">
        <v>24</v>
      </c>
      <c r="G58" s="35"/>
      <c r="H58" s="35" t="s">
        <v>1957</v>
      </c>
      <c r="I58" s="35"/>
      <c r="J58" s="35"/>
      <c r="K58" s="35"/>
      <c r="L58" s="35"/>
      <c r="M58" s="35"/>
      <c r="N58" s="35"/>
      <c r="O58" s="35" t="s">
        <v>1999</v>
      </c>
    </row>
    <row r="59" spans="1:15" ht="120" customHeight="1">
      <c r="A59" s="35" t="s">
        <v>272</v>
      </c>
      <c r="B59" s="35" t="s">
        <v>273</v>
      </c>
      <c r="C59" s="35" t="s">
        <v>274</v>
      </c>
      <c r="D59" s="38" t="s">
        <v>275</v>
      </c>
      <c r="E59" s="38" t="s">
        <v>102</v>
      </c>
      <c r="F59" s="35" t="s">
        <v>24</v>
      </c>
      <c r="G59" s="35"/>
      <c r="H59" s="35" t="s">
        <v>1957</v>
      </c>
      <c r="I59" s="35"/>
      <c r="J59" s="35"/>
      <c r="K59" s="35"/>
      <c r="L59" s="35"/>
      <c r="M59" s="35"/>
      <c r="N59" s="35"/>
      <c r="O59" s="35" t="s">
        <v>2000</v>
      </c>
    </row>
    <row r="60" spans="1:15" ht="132.94999999999999" customHeight="1">
      <c r="A60" s="35" t="s">
        <v>276</v>
      </c>
      <c r="B60" s="35" t="s">
        <v>277</v>
      </c>
      <c r="C60" s="35" t="s">
        <v>278</v>
      </c>
      <c r="D60" s="38" t="s">
        <v>279</v>
      </c>
      <c r="E60" s="38" t="s">
        <v>102</v>
      </c>
      <c r="F60" s="35" t="s">
        <v>24</v>
      </c>
      <c r="G60" s="35"/>
      <c r="H60" s="35" t="s">
        <v>1957</v>
      </c>
      <c r="I60" s="35"/>
      <c r="J60" s="35"/>
      <c r="K60" s="35"/>
      <c r="L60" s="35"/>
      <c r="M60" s="35"/>
      <c r="N60" s="35"/>
      <c r="O60" s="35" t="s">
        <v>2001</v>
      </c>
    </row>
    <row r="61" spans="1:15" ht="132.94999999999999" customHeight="1">
      <c r="A61" s="35" t="s">
        <v>280</v>
      </c>
      <c r="B61" s="35" t="s">
        <v>281</v>
      </c>
      <c r="C61" s="35" t="s">
        <v>282</v>
      </c>
      <c r="D61" s="38" t="s">
        <v>283</v>
      </c>
      <c r="E61" s="38" t="s">
        <v>102</v>
      </c>
      <c r="F61" s="35" t="s">
        <v>24</v>
      </c>
      <c r="G61" s="35"/>
      <c r="H61" s="35" t="s">
        <v>1957</v>
      </c>
      <c r="I61" s="35"/>
      <c r="J61" s="35"/>
      <c r="K61" s="35"/>
      <c r="L61" s="35"/>
      <c r="M61" s="35"/>
      <c r="N61" s="35"/>
      <c r="O61" s="35" t="s">
        <v>2002</v>
      </c>
    </row>
    <row r="62" spans="1:15" ht="132.94999999999999" customHeight="1">
      <c r="A62" s="35" t="s">
        <v>284</v>
      </c>
      <c r="B62" s="35" t="s">
        <v>285</v>
      </c>
      <c r="C62" s="35" t="s">
        <v>286</v>
      </c>
      <c r="D62" s="38" t="s">
        <v>287</v>
      </c>
      <c r="E62" s="38" t="s">
        <v>102</v>
      </c>
      <c r="F62" s="35" t="s">
        <v>24</v>
      </c>
      <c r="G62" s="35"/>
      <c r="H62" s="35" t="s">
        <v>1957</v>
      </c>
      <c r="I62" s="35"/>
      <c r="J62" s="35"/>
      <c r="K62" s="35"/>
      <c r="L62" s="35"/>
      <c r="M62" s="35"/>
      <c r="N62" s="35"/>
      <c r="O62" s="35" t="s">
        <v>2003</v>
      </c>
    </row>
    <row r="63" spans="1:15" ht="132.94999999999999" customHeight="1">
      <c r="A63" s="35" t="s">
        <v>288</v>
      </c>
      <c r="B63" s="35" t="s">
        <v>289</v>
      </c>
      <c r="C63" s="35" t="s">
        <v>290</v>
      </c>
      <c r="D63" s="38" t="s">
        <v>291</v>
      </c>
      <c r="E63" s="38" t="s">
        <v>102</v>
      </c>
      <c r="F63" s="35" t="s">
        <v>24</v>
      </c>
      <c r="G63" s="35"/>
      <c r="H63" s="35" t="s">
        <v>1957</v>
      </c>
      <c r="I63" s="35"/>
      <c r="J63" s="35"/>
      <c r="K63" s="35"/>
      <c r="L63" s="35"/>
      <c r="M63" s="35"/>
      <c r="N63" s="35"/>
      <c r="O63" s="35" t="s">
        <v>2004</v>
      </c>
    </row>
    <row r="64" spans="1:15" ht="132.94999999999999" customHeight="1">
      <c r="A64" s="35" t="s">
        <v>292</v>
      </c>
      <c r="B64" s="35" t="s">
        <v>293</v>
      </c>
      <c r="C64" s="35" t="s">
        <v>294</v>
      </c>
      <c r="D64" s="38" t="s">
        <v>295</v>
      </c>
      <c r="E64" s="38" t="s">
        <v>102</v>
      </c>
      <c r="F64" s="35" t="s">
        <v>24</v>
      </c>
      <c r="G64" s="35"/>
      <c r="H64" s="35" t="s">
        <v>1957</v>
      </c>
      <c r="I64" s="35"/>
      <c r="J64" s="35"/>
      <c r="K64" s="35"/>
      <c r="L64" s="35"/>
      <c r="M64" s="35"/>
      <c r="N64" s="35"/>
      <c r="O64" s="35" t="s">
        <v>2005</v>
      </c>
    </row>
    <row r="65" spans="1:15" ht="132.94999999999999" customHeight="1">
      <c r="A65" s="35" t="s">
        <v>296</v>
      </c>
      <c r="B65" s="35" t="s">
        <v>297</v>
      </c>
      <c r="C65" s="35" t="s">
        <v>298</v>
      </c>
      <c r="D65" s="38" t="s">
        <v>299</v>
      </c>
      <c r="E65" s="38" t="s">
        <v>102</v>
      </c>
      <c r="F65" s="35" t="s">
        <v>24</v>
      </c>
      <c r="G65" s="35"/>
      <c r="H65" s="35" t="s">
        <v>1957</v>
      </c>
      <c r="I65" s="35"/>
      <c r="J65" s="35"/>
      <c r="K65" s="35"/>
      <c r="L65" s="35"/>
      <c r="M65" s="35"/>
      <c r="N65" s="35"/>
      <c r="O65" s="35" t="s">
        <v>2006</v>
      </c>
    </row>
    <row r="66" spans="1:15" ht="132.94999999999999" customHeight="1">
      <c r="A66" s="35" t="s">
        <v>300</v>
      </c>
      <c r="B66" s="35" t="s">
        <v>301</v>
      </c>
      <c r="C66" s="35" t="s">
        <v>302</v>
      </c>
      <c r="D66" s="38" t="s">
        <v>303</v>
      </c>
      <c r="E66" s="38" t="s">
        <v>102</v>
      </c>
      <c r="F66" s="35" t="s">
        <v>24</v>
      </c>
      <c r="G66" s="35"/>
      <c r="H66" s="35" t="s">
        <v>1957</v>
      </c>
      <c r="I66" s="35"/>
      <c r="J66" s="35"/>
      <c r="K66" s="35"/>
      <c r="L66" s="35"/>
      <c r="M66" s="35"/>
      <c r="N66" s="35"/>
      <c r="O66" s="35" t="s">
        <v>2007</v>
      </c>
    </row>
    <row r="67" spans="1:15" ht="132.94999999999999" customHeight="1">
      <c r="A67" s="35" t="s">
        <v>304</v>
      </c>
      <c r="B67" s="35" t="s">
        <v>305</v>
      </c>
      <c r="C67" s="35" t="s">
        <v>306</v>
      </c>
      <c r="D67" s="38" t="s">
        <v>307</v>
      </c>
      <c r="E67" s="38" t="s">
        <v>102</v>
      </c>
      <c r="F67" s="35" t="s">
        <v>24</v>
      </c>
      <c r="G67" s="35"/>
      <c r="H67" s="35" t="s">
        <v>1957</v>
      </c>
      <c r="I67" s="35"/>
      <c r="J67" s="35"/>
      <c r="K67" s="35"/>
      <c r="L67" s="35"/>
      <c r="M67" s="35"/>
      <c r="N67" s="35"/>
      <c r="O67" s="35" t="s">
        <v>2008</v>
      </c>
    </row>
    <row r="68" spans="1:15" ht="146.1" customHeight="1">
      <c r="A68" s="35" t="s">
        <v>308</v>
      </c>
      <c r="B68" s="35" t="s">
        <v>309</v>
      </c>
      <c r="C68" s="35" t="s">
        <v>310</v>
      </c>
      <c r="D68" s="38" t="s">
        <v>311</v>
      </c>
      <c r="E68" s="38" t="s">
        <v>102</v>
      </c>
      <c r="F68" s="35" t="s">
        <v>24</v>
      </c>
      <c r="G68" s="35"/>
      <c r="H68" s="35" t="s">
        <v>1957</v>
      </c>
      <c r="I68" s="35"/>
      <c r="J68" s="35"/>
      <c r="K68" s="35"/>
      <c r="L68" s="35"/>
      <c r="M68" s="35"/>
      <c r="N68" s="35"/>
      <c r="O68" s="35" t="s">
        <v>2009</v>
      </c>
    </row>
    <row r="69" spans="1:15" ht="132.94999999999999" customHeight="1">
      <c r="A69" s="35" t="s">
        <v>312</v>
      </c>
      <c r="B69" s="35" t="s">
        <v>313</v>
      </c>
      <c r="C69" s="35" t="s">
        <v>314</v>
      </c>
      <c r="D69" s="38" t="s">
        <v>315</v>
      </c>
      <c r="E69" s="38" t="s">
        <v>102</v>
      </c>
      <c r="F69" s="35" t="s">
        <v>24</v>
      </c>
      <c r="G69" s="35"/>
      <c r="H69" s="35" t="s">
        <v>1957</v>
      </c>
      <c r="I69" s="35"/>
      <c r="J69" s="35"/>
      <c r="K69" s="35"/>
      <c r="L69" s="35"/>
      <c r="M69" s="35"/>
      <c r="N69" s="35"/>
      <c r="O69" s="35" t="s">
        <v>2010</v>
      </c>
    </row>
    <row r="70" spans="1:15" ht="132.94999999999999" customHeight="1">
      <c r="A70" s="35" t="s">
        <v>316</v>
      </c>
      <c r="B70" s="35" t="s">
        <v>317</v>
      </c>
      <c r="C70" s="35" t="s">
        <v>318</v>
      </c>
      <c r="D70" s="38" t="s">
        <v>319</v>
      </c>
      <c r="E70" s="38" t="s">
        <v>102</v>
      </c>
      <c r="F70" s="35" t="s">
        <v>24</v>
      </c>
      <c r="G70" s="35"/>
      <c r="H70" s="35" t="s">
        <v>1957</v>
      </c>
      <c r="I70" s="35"/>
      <c r="J70" s="35"/>
      <c r="K70" s="35"/>
      <c r="L70" s="35"/>
      <c r="M70" s="35"/>
      <c r="N70" s="35"/>
      <c r="O70" s="35" t="s">
        <v>2011</v>
      </c>
    </row>
    <row r="71" spans="1:15" ht="132.94999999999999" customHeight="1">
      <c r="A71" s="35" t="s">
        <v>320</v>
      </c>
      <c r="B71" s="35" t="s">
        <v>321</v>
      </c>
      <c r="C71" s="35" t="s">
        <v>322</v>
      </c>
      <c r="D71" s="38" t="s">
        <v>323</v>
      </c>
      <c r="E71" s="38" t="s">
        <v>102</v>
      </c>
      <c r="F71" s="35" t="s">
        <v>24</v>
      </c>
      <c r="G71" s="35"/>
      <c r="H71" s="35" t="s">
        <v>1957</v>
      </c>
      <c r="I71" s="35"/>
      <c r="J71" s="35"/>
      <c r="K71" s="35"/>
      <c r="L71" s="35"/>
      <c r="M71" s="35"/>
      <c r="N71" s="35"/>
      <c r="O71" s="35" t="s">
        <v>2012</v>
      </c>
    </row>
    <row r="72" spans="1:15" ht="27" customHeight="1">
      <c r="A72" s="121" t="s">
        <v>324</v>
      </c>
      <c r="B72" s="121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3"/>
    </row>
    <row r="73" spans="1:15" ht="146.1" customHeight="1">
      <c r="A73" s="35" t="s">
        <v>325</v>
      </c>
      <c r="B73" s="35" t="s">
        <v>326</v>
      </c>
      <c r="C73" s="35" t="s">
        <v>327</v>
      </c>
      <c r="D73" s="38" t="s">
        <v>328</v>
      </c>
      <c r="E73" s="38" t="s">
        <v>102</v>
      </c>
      <c r="F73" s="35" t="s">
        <v>24</v>
      </c>
      <c r="G73" s="35"/>
      <c r="H73" s="35" t="s">
        <v>1957</v>
      </c>
      <c r="I73" s="35"/>
      <c r="J73" s="35"/>
      <c r="K73" s="35"/>
      <c r="L73" s="35"/>
      <c r="M73" s="35"/>
      <c r="N73" s="35"/>
      <c r="O73" s="35" t="s">
        <v>2013</v>
      </c>
    </row>
    <row r="74" spans="1:15" ht="132.94999999999999" customHeight="1">
      <c r="A74" s="35" t="s">
        <v>329</v>
      </c>
      <c r="B74" s="35" t="s">
        <v>330</v>
      </c>
      <c r="C74" s="35" t="s">
        <v>331</v>
      </c>
      <c r="D74" s="38" t="s">
        <v>332</v>
      </c>
      <c r="E74" s="38" t="s">
        <v>102</v>
      </c>
      <c r="F74" s="35" t="s">
        <v>24</v>
      </c>
      <c r="G74" s="35"/>
      <c r="H74" s="35" t="s">
        <v>1957</v>
      </c>
      <c r="I74" s="35"/>
      <c r="J74" s="35"/>
      <c r="K74" s="35"/>
      <c r="L74" s="35"/>
      <c r="M74" s="35"/>
      <c r="N74" s="35"/>
      <c r="O74" s="35" t="s">
        <v>2014</v>
      </c>
    </row>
    <row r="75" spans="1:15" ht="27" customHeight="1">
      <c r="A75" s="121" t="s">
        <v>333</v>
      </c>
      <c r="B75" s="121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3"/>
    </row>
    <row r="76" spans="1:15" ht="132.94999999999999" customHeight="1">
      <c r="A76" s="35" t="s">
        <v>334</v>
      </c>
      <c r="B76" s="35" t="s">
        <v>335</v>
      </c>
      <c r="C76" s="35" t="s">
        <v>336</v>
      </c>
      <c r="D76" s="38" t="s">
        <v>337</v>
      </c>
      <c r="E76" s="38" t="s">
        <v>102</v>
      </c>
      <c r="F76" s="35" t="s">
        <v>24</v>
      </c>
      <c r="G76" s="35"/>
      <c r="H76" s="35" t="s">
        <v>1957</v>
      </c>
      <c r="I76" s="35"/>
      <c r="J76" s="35"/>
      <c r="K76" s="35"/>
      <c r="L76" s="35"/>
      <c r="M76" s="35"/>
      <c r="N76" s="35"/>
      <c r="O76" s="35" t="s">
        <v>2015</v>
      </c>
    </row>
    <row r="77" spans="1:15" ht="132.94999999999999" customHeight="1">
      <c r="A77" s="35" t="s">
        <v>338</v>
      </c>
      <c r="B77" s="35" t="s">
        <v>339</v>
      </c>
      <c r="C77" s="35" t="s">
        <v>340</v>
      </c>
      <c r="D77" s="38" t="s">
        <v>341</v>
      </c>
      <c r="E77" s="38" t="s">
        <v>102</v>
      </c>
      <c r="F77" s="35" t="s">
        <v>24</v>
      </c>
      <c r="G77" s="35"/>
      <c r="H77" s="35" t="s">
        <v>1957</v>
      </c>
      <c r="I77" s="35"/>
      <c r="J77" s="35"/>
      <c r="K77" s="35"/>
      <c r="L77" s="35"/>
      <c r="M77" s="35"/>
      <c r="N77" s="35"/>
      <c r="O77" s="35" t="s">
        <v>2016</v>
      </c>
    </row>
    <row r="78" spans="1:15" ht="132.94999999999999" customHeight="1">
      <c r="A78" s="35" t="s">
        <v>342</v>
      </c>
      <c r="B78" s="35" t="s">
        <v>343</v>
      </c>
      <c r="C78" s="35" t="s">
        <v>344</v>
      </c>
      <c r="D78" s="38" t="s">
        <v>345</v>
      </c>
      <c r="E78" s="38" t="s">
        <v>102</v>
      </c>
      <c r="F78" s="35" t="s">
        <v>24</v>
      </c>
      <c r="G78" s="35"/>
      <c r="H78" s="35" t="s">
        <v>1957</v>
      </c>
      <c r="I78" s="35"/>
      <c r="J78" s="35"/>
      <c r="K78" s="35"/>
      <c r="L78" s="35"/>
      <c r="M78" s="35"/>
      <c r="N78" s="35"/>
      <c r="O78" s="35" t="s">
        <v>2017</v>
      </c>
    </row>
    <row r="79" spans="1:15" ht="120" customHeight="1">
      <c r="A79" s="35" t="s">
        <v>346</v>
      </c>
      <c r="B79" s="35" t="s">
        <v>347</v>
      </c>
      <c r="C79" s="35" t="s">
        <v>348</v>
      </c>
      <c r="D79" s="38" t="s">
        <v>349</v>
      </c>
      <c r="E79" s="38" t="s">
        <v>102</v>
      </c>
      <c r="F79" s="35" t="s">
        <v>24</v>
      </c>
      <c r="G79" s="35"/>
      <c r="H79" s="35" t="s">
        <v>1957</v>
      </c>
      <c r="I79" s="35"/>
      <c r="J79" s="35"/>
      <c r="K79" s="35"/>
      <c r="L79" s="35"/>
      <c r="M79" s="35"/>
      <c r="N79" s="35"/>
      <c r="O79" s="35" t="s">
        <v>2018</v>
      </c>
    </row>
    <row r="80" spans="1:15" ht="132.94999999999999" customHeight="1">
      <c r="A80" s="35" t="s">
        <v>350</v>
      </c>
      <c r="B80" s="35" t="s">
        <v>351</v>
      </c>
      <c r="C80" s="35" t="s">
        <v>352</v>
      </c>
      <c r="D80" s="38" t="s">
        <v>353</v>
      </c>
      <c r="E80" s="38" t="s">
        <v>102</v>
      </c>
      <c r="F80" s="35" t="s">
        <v>24</v>
      </c>
      <c r="G80" s="35"/>
      <c r="H80" s="35" t="s">
        <v>1957</v>
      </c>
      <c r="I80" s="35"/>
      <c r="J80" s="35"/>
      <c r="K80" s="35"/>
      <c r="L80" s="35"/>
      <c r="M80" s="35"/>
      <c r="N80" s="35"/>
      <c r="O80" s="35" t="s">
        <v>2019</v>
      </c>
    </row>
    <row r="81" spans="1:15" ht="132.94999999999999" customHeight="1">
      <c r="A81" s="35" t="s">
        <v>354</v>
      </c>
      <c r="B81" s="35" t="s">
        <v>355</v>
      </c>
      <c r="C81" s="35" t="s">
        <v>356</v>
      </c>
      <c r="D81" s="38" t="s">
        <v>357</v>
      </c>
      <c r="E81" s="38" t="s">
        <v>102</v>
      </c>
      <c r="F81" s="35" t="s">
        <v>24</v>
      </c>
      <c r="G81" s="35"/>
      <c r="H81" s="35" t="s">
        <v>1957</v>
      </c>
      <c r="I81" s="35"/>
      <c r="J81" s="35"/>
      <c r="K81" s="35"/>
      <c r="L81" s="35"/>
      <c r="M81" s="35"/>
      <c r="N81" s="35"/>
      <c r="O81" s="35" t="s">
        <v>2020</v>
      </c>
    </row>
    <row r="82" spans="1:15" ht="132.94999999999999" customHeight="1">
      <c r="A82" s="35" t="s">
        <v>358</v>
      </c>
      <c r="B82" s="35" t="s">
        <v>359</v>
      </c>
      <c r="C82" s="35" t="s">
        <v>360</v>
      </c>
      <c r="D82" s="38" t="s">
        <v>361</v>
      </c>
      <c r="E82" s="38" t="s">
        <v>102</v>
      </c>
      <c r="F82" s="35" t="s">
        <v>24</v>
      </c>
      <c r="G82" s="35"/>
      <c r="H82" s="35" t="s">
        <v>1957</v>
      </c>
      <c r="I82" s="35"/>
      <c r="J82" s="35"/>
      <c r="K82" s="35"/>
      <c r="L82" s="35"/>
      <c r="M82" s="35"/>
      <c r="N82" s="35"/>
      <c r="O82" s="35" t="s">
        <v>2021</v>
      </c>
    </row>
    <row r="83" spans="1:15" ht="132.94999999999999" customHeight="1">
      <c r="A83" s="35" t="s">
        <v>362</v>
      </c>
      <c r="B83" s="35" t="s">
        <v>363</v>
      </c>
      <c r="C83" s="35" t="s">
        <v>364</v>
      </c>
      <c r="D83" s="38" t="s">
        <v>365</v>
      </c>
      <c r="E83" s="38" t="s">
        <v>102</v>
      </c>
      <c r="F83" s="35" t="s">
        <v>24</v>
      </c>
      <c r="G83" s="35"/>
      <c r="H83" s="35" t="s">
        <v>1957</v>
      </c>
      <c r="I83" s="35"/>
      <c r="J83" s="35"/>
      <c r="K83" s="35"/>
      <c r="L83" s="35"/>
      <c r="M83" s="35"/>
      <c r="N83" s="35"/>
      <c r="O83" s="35" t="s">
        <v>2022</v>
      </c>
    </row>
    <row r="84" spans="1:15" ht="132.94999999999999" customHeight="1">
      <c r="A84" s="35" t="s">
        <v>366</v>
      </c>
      <c r="B84" s="35" t="s">
        <v>367</v>
      </c>
      <c r="C84" s="35" t="s">
        <v>368</v>
      </c>
      <c r="D84" s="38" t="s">
        <v>369</v>
      </c>
      <c r="E84" s="38" t="s">
        <v>102</v>
      </c>
      <c r="F84" s="35" t="s">
        <v>24</v>
      </c>
      <c r="G84" s="35"/>
      <c r="H84" s="35" t="s">
        <v>1957</v>
      </c>
      <c r="I84" s="35"/>
      <c r="J84" s="35"/>
      <c r="K84" s="35"/>
      <c r="L84" s="35"/>
      <c r="M84" s="35"/>
      <c r="N84" s="35"/>
      <c r="O84" s="35" t="s">
        <v>2023</v>
      </c>
    </row>
    <row r="85" spans="1:15" ht="132.94999999999999" customHeight="1">
      <c r="A85" s="35" t="s">
        <v>370</v>
      </c>
      <c r="B85" s="35" t="s">
        <v>371</v>
      </c>
      <c r="C85" s="35" t="s">
        <v>372</v>
      </c>
      <c r="D85" s="38" t="s">
        <v>373</v>
      </c>
      <c r="E85" s="38" t="s">
        <v>102</v>
      </c>
      <c r="F85" s="35" t="s">
        <v>24</v>
      </c>
      <c r="G85" s="35"/>
      <c r="H85" s="35" t="s">
        <v>1957</v>
      </c>
      <c r="I85" s="35"/>
      <c r="J85" s="35"/>
      <c r="K85" s="35"/>
      <c r="L85" s="35"/>
      <c r="M85" s="35"/>
      <c r="N85" s="35"/>
      <c r="O85" s="35" t="s">
        <v>2024</v>
      </c>
    </row>
    <row r="86" spans="1:15" ht="27" customHeight="1">
      <c r="A86" s="121" t="s">
        <v>374</v>
      </c>
      <c r="B86" s="121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3"/>
    </row>
    <row r="87" spans="1:15" ht="132.94999999999999" customHeight="1">
      <c r="A87" s="35" t="s">
        <v>375</v>
      </c>
      <c r="B87" s="35" t="s">
        <v>376</v>
      </c>
      <c r="C87" s="35" t="s">
        <v>377</v>
      </c>
      <c r="D87" s="38" t="s">
        <v>378</v>
      </c>
      <c r="E87" s="38" t="s">
        <v>102</v>
      </c>
      <c r="F87" s="35" t="s">
        <v>24</v>
      </c>
      <c r="G87" s="35"/>
      <c r="H87" s="35" t="s">
        <v>1957</v>
      </c>
      <c r="I87" s="35"/>
      <c r="J87" s="35"/>
      <c r="K87" s="35"/>
      <c r="L87" s="35"/>
      <c r="M87" s="35"/>
      <c r="N87" s="35"/>
      <c r="O87" s="35" t="s">
        <v>2025</v>
      </c>
    </row>
    <row r="88" spans="1:15" ht="132.94999999999999" customHeight="1">
      <c r="A88" s="35" t="s">
        <v>379</v>
      </c>
      <c r="B88" s="35" t="s">
        <v>380</v>
      </c>
      <c r="C88" s="35" t="s">
        <v>381</v>
      </c>
      <c r="D88" s="38" t="s">
        <v>382</v>
      </c>
      <c r="E88" s="38" t="s">
        <v>102</v>
      </c>
      <c r="F88" s="35" t="s">
        <v>24</v>
      </c>
      <c r="G88" s="35"/>
      <c r="H88" s="35" t="s">
        <v>1957</v>
      </c>
      <c r="I88" s="35"/>
      <c r="J88" s="35"/>
      <c r="K88" s="35"/>
      <c r="L88" s="35"/>
      <c r="M88" s="35"/>
      <c r="N88" s="35"/>
      <c r="O88" s="35" t="s">
        <v>2026</v>
      </c>
    </row>
    <row r="89" spans="1:15" ht="120" customHeight="1">
      <c r="A89" s="35" t="s">
        <v>383</v>
      </c>
      <c r="B89" s="35" t="s">
        <v>384</v>
      </c>
      <c r="C89" s="35" t="s">
        <v>385</v>
      </c>
      <c r="D89" s="38" t="s">
        <v>386</v>
      </c>
      <c r="E89" s="38" t="s">
        <v>102</v>
      </c>
      <c r="F89" s="35" t="s">
        <v>24</v>
      </c>
      <c r="G89" s="35"/>
      <c r="H89" s="35" t="s">
        <v>1957</v>
      </c>
      <c r="I89" s="35"/>
      <c r="J89" s="35"/>
      <c r="K89" s="35"/>
      <c r="L89" s="35"/>
      <c r="M89" s="35"/>
      <c r="N89" s="35"/>
      <c r="O89" s="35" t="s">
        <v>2027</v>
      </c>
    </row>
  </sheetData>
  <mergeCells count="3">
    <mergeCell ref="B2:E2"/>
    <mergeCell ref="B4:E4"/>
    <mergeCell ref="B3:E3"/>
  </mergeCells>
  <dataValidations count="3">
    <dataValidation type="list" allowBlank="1" showErrorMessage="1" sqref="G2:G3 M20:M147 M9 M2:M3 J20:J147 J9 J2:J3 G20:G147 G9" xr:uid="{00000000-0002-0000-0300-000000000000}">
      <formula1>$R$2:$R$5</formula1>
      <formula2>0</formula2>
    </dataValidation>
    <dataValidation allowBlank="1" showErrorMessage="1" sqref="F10 I10 L10" xr:uid="{00000000-0002-0000-0300-000009000000}"/>
    <dataValidation type="list" sqref="F12:F89 L12:L89 I12:I89" xr:uid="{00000000-0002-0000-0300-00000A000000}">
      <formula1>$R$2:$R$5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87"/>
  <sheetViews>
    <sheetView workbookViewId="0">
      <pane ySplit="10" topLeftCell="A11" activePane="bottomLeft" state="frozen"/>
      <selection pane="bottomLeft"/>
    </sheetView>
  </sheetViews>
  <sheetFormatPr defaultColWidth="9" defaultRowHeight="12.75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/>
    <col min="8" max="8" width="7" style="1" customWidth="1"/>
    <col min="9" max="9" width="9.375" style="1" customWidth="1"/>
    <col min="10" max="10" width="10.625" style="1" customWidth="1"/>
    <col min="11" max="11" width="7" style="1" customWidth="1"/>
    <col min="12" max="12" width="9.375" style="1" customWidth="1"/>
    <col min="13" max="13" width="10.625" style="1" customWidth="1"/>
    <col min="14" max="14" width="7" style="1" customWidth="1"/>
    <col min="15" max="15" width="28.625" style="1" customWidth="1"/>
    <col min="16" max="16" width="10.125" style="1" customWidth="1"/>
    <col min="17" max="17" width="8.125" style="27" customWidth="1"/>
    <col min="18" max="18" width="7.625" style="1" hidden="1" customWidth="1"/>
    <col min="19" max="16384" width="9" style="1"/>
  </cols>
  <sheetData>
    <row r="2" spans="1:18" s="29" customFormat="1" ht="15" customHeight="1">
      <c r="A2" s="77" t="s">
        <v>28</v>
      </c>
      <c r="B2" s="146" t="s">
        <v>55</v>
      </c>
      <c r="C2" s="146"/>
      <c r="D2" s="146"/>
      <c r="E2" s="147"/>
      <c r="F2" s="67"/>
      <c r="G2" s="64"/>
      <c r="H2" s="9"/>
      <c r="I2" s="67"/>
      <c r="J2" s="64"/>
      <c r="K2" s="9"/>
      <c r="L2" s="67"/>
      <c r="M2" s="64"/>
      <c r="N2" s="9"/>
      <c r="O2" s="9"/>
      <c r="P2" s="9"/>
      <c r="Q2" s="28"/>
      <c r="R2" s="29" t="s">
        <v>24</v>
      </c>
    </row>
    <row r="3" spans="1:18" s="29" customFormat="1" ht="29.1" customHeight="1">
      <c r="A3" s="78" t="s">
        <v>29</v>
      </c>
      <c r="B3" s="148" t="s">
        <v>58</v>
      </c>
      <c r="C3" s="148"/>
      <c r="D3" s="148"/>
      <c r="E3" s="149"/>
      <c r="F3" s="67"/>
      <c r="G3" s="64"/>
      <c r="H3" s="9"/>
      <c r="I3" s="67"/>
      <c r="J3" s="64"/>
      <c r="K3" s="9"/>
      <c r="L3" s="67"/>
      <c r="M3" s="64"/>
      <c r="N3" s="9"/>
      <c r="O3" s="9"/>
      <c r="P3" s="9"/>
      <c r="Q3" s="28"/>
      <c r="R3" s="29" t="s">
        <v>25</v>
      </c>
    </row>
    <row r="4" spans="1:18" s="29" customFormat="1" ht="18" customHeight="1">
      <c r="A4" s="78" t="s">
        <v>30</v>
      </c>
      <c r="B4" s="148">
        <f>COUNTA($F$12:$F$998)</f>
        <v>63</v>
      </c>
      <c r="C4" s="148"/>
      <c r="D4" s="148"/>
      <c r="E4" s="149"/>
      <c r="F4" s="67"/>
      <c r="G4" s="64"/>
      <c r="H4" s="9"/>
      <c r="I4" s="67"/>
      <c r="J4" s="64"/>
      <c r="K4" s="9"/>
      <c r="L4" s="67"/>
      <c r="M4" s="64"/>
      <c r="N4" s="9"/>
      <c r="O4" s="9"/>
      <c r="P4" s="9"/>
      <c r="Q4" s="28"/>
      <c r="R4" s="29" t="s">
        <v>26</v>
      </c>
    </row>
    <row r="5" spans="1:18" s="29" customFormat="1" ht="19.5" customHeight="1">
      <c r="A5" s="71" t="s">
        <v>31</v>
      </c>
      <c r="B5" s="69" t="s">
        <v>24</v>
      </c>
      <c r="C5" s="69" t="s">
        <v>25</v>
      </c>
      <c r="D5" s="69" t="s">
        <v>26</v>
      </c>
      <c r="E5" s="72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s="29" customFormat="1" ht="15" customHeight="1">
      <c r="A6" s="71" t="s">
        <v>32</v>
      </c>
      <c r="B6" s="70">
        <f>COUNTIF($F$12:$F$998,B$5)</f>
        <v>63</v>
      </c>
      <c r="C6" s="70">
        <f>COUNTIF($F$12:$F$998,C$5)</f>
        <v>0</v>
      </c>
      <c r="D6" s="70">
        <f>COUNTIF($F$12:$F$998,D$5)</f>
        <v>0</v>
      </c>
      <c r="E6" s="76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</row>
    <row r="7" spans="1:18" s="29" customFormat="1" ht="15" customHeight="1">
      <c r="A7" s="71" t="s">
        <v>33</v>
      </c>
      <c r="B7" s="70">
        <f>COUNTIF($I$12:$I$998,B$5)</f>
        <v>0</v>
      </c>
      <c r="C7" s="70">
        <f>COUNTIF($I$12:$I$998,C$5)</f>
        <v>0</v>
      </c>
      <c r="D7" s="70">
        <f>COUNTIF($I$12:$I$998,D$5)</f>
        <v>0</v>
      </c>
      <c r="E7" s="76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</row>
    <row r="8" spans="1:18" s="29" customFormat="1" ht="15" customHeight="1">
      <c r="A8" s="73" t="s">
        <v>34</v>
      </c>
      <c r="B8" s="74">
        <f>COUNTIF($L$12:$L$998,B$5)</f>
        <v>0</v>
      </c>
      <c r="C8" s="74">
        <f>COUNTIF($L$12:$L$998,C$5)</f>
        <v>0</v>
      </c>
      <c r="D8" s="74">
        <f>COUNTIF($L$12:$L$998,D$5)</f>
        <v>0</v>
      </c>
      <c r="E8" s="75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68" t="s">
        <v>35</v>
      </c>
      <c r="B10" s="68" t="s">
        <v>36</v>
      </c>
      <c r="C10" s="68" t="s">
        <v>37</v>
      </c>
      <c r="D10" s="68" t="s">
        <v>38</v>
      </c>
      <c r="E10" s="68" t="s">
        <v>39</v>
      </c>
      <c r="F10" s="68" t="s">
        <v>32</v>
      </c>
      <c r="G10" s="68" t="s">
        <v>40</v>
      </c>
      <c r="H10" s="68" t="s">
        <v>41</v>
      </c>
      <c r="I10" s="68" t="s">
        <v>33</v>
      </c>
      <c r="J10" s="68" t="s">
        <v>40</v>
      </c>
      <c r="K10" s="68" t="s">
        <v>41</v>
      </c>
      <c r="L10" s="68" t="s">
        <v>34</v>
      </c>
      <c r="M10" s="68" t="s">
        <v>40</v>
      </c>
      <c r="N10" s="68" t="s">
        <v>41</v>
      </c>
      <c r="O10" s="68" t="s">
        <v>42</v>
      </c>
      <c r="Q10" s="33"/>
    </row>
    <row r="11" spans="1:18" s="29" customFormat="1" ht="27" customHeight="1">
      <c r="A11" s="121" t="s">
        <v>387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Q11" s="34"/>
    </row>
    <row r="12" spans="1:18" s="37" customFormat="1" ht="132.94999999999999" customHeight="1">
      <c r="A12" s="35" t="s">
        <v>388</v>
      </c>
      <c r="B12" s="35" t="s">
        <v>389</v>
      </c>
      <c r="C12" s="35" t="s">
        <v>390</v>
      </c>
      <c r="D12" s="38" t="s">
        <v>391</v>
      </c>
      <c r="E12" s="38" t="s">
        <v>102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2028</v>
      </c>
      <c r="Q12" s="36"/>
    </row>
    <row r="13" spans="1:18" ht="132.94999999999999" customHeight="1">
      <c r="A13" s="35" t="s">
        <v>392</v>
      </c>
      <c r="B13" s="35" t="s">
        <v>393</v>
      </c>
      <c r="C13" s="35" t="s">
        <v>394</v>
      </c>
      <c r="D13" s="38" t="s">
        <v>395</v>
      </c>
      <c r="E13" s="38" t="s">
        <v>102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2029</v>
      </c>
      <c r="Q13" s="36"/>
    </row>
    <row r="14" spans="1:18" ht="132.94999999999999" customHeight="1">
      <c r="A14" s="35" t="s">
        <v>396</v>
      </c>
      <c r="B14" s="35" t="s">
        <v>397</v>
      </c>
      <c r="C14" s="35" t="s">
        <v>398</v>
      </c>
      <c r="D14" s="38" t="s">
        <v>399</v>
      </c>
      <c r="E14" s="38" t="s">
        <v>102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2030</v>
      </c>
      <c r="Q14" s="36"/>
    </row>
    <row r="15" spans="1:18" s="29" customFormat="1" ht="132.94999999999999" customHeight="1">
      <c r="A15" s="35" t="s">
        <v>400</v>
      </c>
      <c r="B15" s="35" t="s">
        <v>401</v>
      </c>
      <c r="C15" s="35" t="s">
        <v>402</v>
      </c>
      <c r="D15" s="38" t="s">
        <v>403</v>
      </c>
      <c r="E15" s="38" t="s">
        <v>102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2031</v>
      </c>
      <c r="Q15" s="34"/>
    </row>
    <row r="16" spans="1:18" ht="120" customHeight="1">
      <c r="A16" s="35" t="s">
        <v>404</v>
      </c>
      <c r="B16" s="35" t="s">
        <v>405</v>
      </c>
      <c r="C16" s="35" t="s">
        <v>406</v>
      </c>
      <c r="D16" s="38" t="s">
        <v>407</v>
      </c>
      <c r="E16" s="38" t="s">
        <v>102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2032</v>
      </c>
      <c r="Q16" s="36"/>
    </row>
    <row r="17" spans="1:15" ht="27" customHeight="1">
      <c r="A17" s="121" t="s">
        <v>408</v>
      </c>
      <c r="B17" s="121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3"/>
    </row>
    <row r="18" spans="1:15" ht="120" customHeight="1">
      <c r="A18" s="35" t="s">
        <v>409</v>
      </c>
      <c r="B18" s="35" t="s">
        <v>410</v>
      </c>
      <c r="C18" s="35" t="s">
        <v>411</v>
      </c>
      <c r="D18" s="38" t="s">
        <v>412</v>
      </c>
      <c r="E18" s="38" t="s">
        <v>102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2033</v>
      </c>
    </row>
    <row r="19" spans="1:15" ht="132.94999999999999" customHeight="1">
      <c r="A19" s="35" t="s">
        <v>413</v>
      </c>
      <c r="B19" s="35" t="s">
        <v>414</v>
      </c>
      <c r="C19" s="35" t="s">
        <v>415</v>
      </c>
      <c r="D19" s="38" t="s">
        <v>416</v>
      </c>
      <c r="E19" s="38" t="s">
        <v>102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2034</v>
      </c>
    </row>
    <row r="20" spans="1:15" ht="27" customHeight="1">
      <c r="A20" s="121" t="s">
        <v>417</v>
      </c>
      <c r="B20" s="121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3"/>
    </row>
    <row r="21" spans="1:15" ht="132.94999999999999" customHeight="1">
      <c r="A21" s="35" t="s">
        <v>418</v>
      </c>
      <c r="B21" s="35" t="s">
        <v>419</v>
      </c>
      <c r="C21" s="35" t="s">
        <v>420</v>
      </c>
      <c r="D21" s="38" t="s">
        <v>421</v>
      </c>
      <c r="E21" s="38" t="s">
        <v>102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2035</v>
      </c>
    </row>
    <row r="22" spans="1:15" ht="132.94999999999999" customHeight="1">
      <c r="A22" s="35" t="s">
        <v>422</v>
      </c>
      <c r="B22" s="35" t="s">
        <v>423</v>
      </c>
      <c r="C22" s="35" t="s">
        <v>424</v>
      </c>
      <c r="D22" s="38" t="s">
        <v>425</v>
      </c>
      <c r="E22" s="38" t="s">
        <v>102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2036</v>
      </c>
    </row>
    <row r="23" spans="1:15" ht="132.94999999999999" customHeight="1">
      <c r="A23" s="35" t="s">
        <v>426</v>
      </c>
      <c r="B23" s="35" t="s">
        <v>427</v>
      </c>
      <c r="C23" s="35" t="s">
        <v>428</v>
      </c>
      <c r="D23" s="38" t="s">
        <v>429</v>
      </c>
      <c r="E23" s="38" t="s">
        <v>102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2037</v>
      </c>
    </row>
    <row r="24" spans="1:15" ht="27" customHeight="1">
      <c r="A24" s="121" t="s">
        <v>430</v>
      </c>
      <c r="B24" s="121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3"/>
    </row>
    <row r="25" spans="1:15" ht="120" customHeight="1">
      <c r="A25" s="35" t="s">
        <v>431</v>
      </c>
      <c r="B25" s="35" t="s">
        <v>432</v>
      </c>
      <c r="C25" s="35" t="s">
        <v>433</v>
      </c>
      <c r="D25" s="38" t="s">
        <v>434</v>
      </c>
      <c r="E25" s="38" t="s">
        <v>102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2038</v>
      </c>
    </row>
    <row r="26" spans="1:15" ht="120" customHeight="1">
      <c r="A26" s="35" t="s">
        <v>435</v>
      </c>
      <c r="B26" s="35" t="s">
        <v>436</v>
      </c>
      <c r="C26" s="35" t="s">
        <v>437</v>
      </c>
      <c r="D26" s="38" t="s">
        <v>438</v>
      </c>
      <c r="E26" s="38" t="s">
        <v>102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2039</v>
      </c>
    </row>
    <row r="27" spans="1:15" ht="120" customHeight="1">
      <c r="A27" s="35" t="s">
        <v>439</v>
      </c>
      <c r="B27" s="35" t="s">
        <v>440</v>
      </c>
      <c r="C27" s="35" t="s">
        <v>441</v>
      </c>
      <c r="D27" s="38" t="s">
        <v>442</v>
      </c>
      <c r="E27" s="38" t="s">
        <v>102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2040</v>
      </c>
    </row>
    <row r="28" spans="1:15" ht="27" customHeight="1">
      <c r="A28" s="121" t="s">
        <v>443</v>
      </c>
      <c r="B28" s="121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3"/>
    </row>
    <row r="29" spans="1:15" ht="120" customHeight="1">
      <c r="A29" s="35" t="s">
        <v>444</v>
      </c>
      <c r="B29" s="35" t="s">
        <v>445</v>
      </c>
      <c r="C29" s="35" t="s">
        <v>446</v>
      </c>
      <c r="D29" s="38" t="s">
        <v>447</v>
      </c>
      <c r="E29" s="38" t="s">
        <v>102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2041</v>
      </c>
    </row>
    <row r="30" spans="1:15" ht="120" customHeight="1">
      <c r="A30" s="35" t="s">
        <v>448</v>
      </c>
      <c r="B30" s="35" t="s">
        <v>449</v>
      </c>
      <c r="C30" s="35" t="s">
        <v>450</v>
      </c>
      <c r="D30" s="38" t="s">
        <v>451</v>
      </c>
      <c r="E30" s="38" t="s">
        <v>102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2042</v>
      </c>
    </row>
    <row r="31" spans="1:15" ht="132.94999999999999" customHeight="1">
      <c r="A31" s="35" t="s">
        <v>452</v>
      </c>
      <c r="B31" s="35" t="s">
        <v>453</v>
      </c>
      <c r="C31" s="35" t="s">
        <v>454</v>
      </c>
      <c r="D31" s="38" t="s">
        <v>455</v>
      </c>
      <c r="E31" s="38" t="s">
        <v>102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2043</v>
      </c>
    </row>
    <row r="32" spans="1:15" ht="27" customHeight="1">
      <c r="A32" s="121" t="s">
        <v>456</v>
      </c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3"/>
    </row>
    <row r="33" spans="1:15" ht="132.94999999999999" customHeight="1">
      <c r="A33" s="35" t="s">
        <v>457</v>
      </c>
      <c r="B33" s="35" t="s">
        <v>458</v>
      </c>
      <c r="C33" s="35" t="s">
        <v>459</v>
      </c>
      <c r="D33" s="38" t="s">
        <v>460</v>
      </c>
      <c r="E33" s="38" t="s">
        <v>102</v>
      </c>
      <c r="F33" s="35" t="s">
        <v>24</v>
      </c>
      <c r="G33" s="35"/>
      <c r="H33" s="35" t="s">
        <v>1957</v>
      </c>
      <c r="I33" s="35"/>
      <c r="J33" s="35"/>
      <c r="K33" s="35"/>
      <c r="L33" s="35"/>
      <c r="M33" s="35"/>
      <c r="N33" s="35"/>
      <c r="O33" s="35" t="s">
        <v>2044</v>
      </c>
    </row>
    <row r="34" spans="1:15" ht="132.94999999999999" customHeight="1">
      <c r="A34" s="35" t="s">
        <v>461</v>
      </c>
      <c r="B34" s="35" t="s">
        <v>462</v>
      </c>
      <c r="C34" s="35" t="s">
        <v>463</v>
      </c>
      <c r="D34" s="38" t="s">
        <v>464</v>
      </c>
      <c r="E34" s="38" t="s">
        <v>102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2045</v>
      </c>
    </row>
    <row r="35" spans="1:15" ht="132.94999999999999" customHeight="1">
      <c r="A35" s="35" t="s">
        <v>465</v>
      </c>
      <c r="B35" s="35" t="s">
        <v>466</v>
      </c>
      <c r="C35" s="35" t="s">
        <v>467</v>
      </c>
      <c r="D35" s="38" t="s">
        <v>468</v>
      </c>
      <c r="E35" s="38" t="s">
        <v>102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2046</v>
      </c>
    </row>
    <row r="36" spans="1:15" ht="120" customHeight="1">
      <c r="A36" s="35" t="s">
        <v>469</v>
      </c>
      <c r="B36" s="35" t="s">
        <v>470</v>
      </c>
      <c r="C36" s="35" t="s">
        <v>471</v>
      </c>
      <c r="D36" s="38" t="s">
        <v>472</v>
      </c>
      <c r="E36" s="38" t="s">
        <v>102</v>
      </c>
      <c r="F36" s="35" t="s">
        <v>24</v>
      </c>
      <c r="G36" s="35"/>
      <c r="H36" s="35" t="s">
        <v>1957</v>
      </c>
      <c r="I36" s="35"/>
      <c r="J36" s="35"/>
      <c r="K36" s="35"/>
      <c r="L36" s="35"/>
      <c r="M36" s="35"/>
      <c r="N36" s="35"/>
      <c r="O36" s="35" t="s">
        <v>2047</v>
      </c>
    </row>
    <row r="37" spans="1:15" ht="132.94999999999999" customHeight="1">
      <c r="A37" s="35" t="s">
        <v>473</v>
      </c>
      <c r="B37" s="35" t="s">
        <v>474</v>
      </c>
      <c r="C37" s="35" t="s">
        <v>475</v>
      </c>
      <c r="D37" s="38" t="s">
        <v>476</v>
      </c>
      <c r="E37" s="38" t="s">
        <v>102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2048</v>
      </c>
    </row>
    <row r="38" spans="1:15" ht="132.94999999999999" customHeight="1">
      <c r="A38" s="35" t="s">
        <v>477</v>
      </c>
      <c r="B38" s="35" t="s">
        <v>478</v>
      </c>
      <c r="C38" s="35" t="s">
        <v>479</v>
      </c>
      <c r="D38" s="38" t="s">
        <v>480</v>
      </c>
      <c r="E38" s="38" t="s">
        <v>102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2049</v>
      </c>
    </row>
    <row r="39" spans="1:15" ht="132.94999999999999" customHeight="1">
      <c r="A39" s="35" t="s">
        <v>481</v>
      </c>
      <c r="B39" s="35" t="s">
        <v>482</v>
      </c>
      <c r="C39" s="35" t="s">
        <v>483</v>
      </c>
      <c r="D39" s="38" t="s">
        <v>484</v>
      </c>
      <c r="E39" s="38" t="s">
        <v>102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2050</v>
      </c>
    </row>
    <row r="40" spans="1:15" ht="27" customHeight="1">
      <c r="A40" s="121" t="s">
        <v>485</v>
      </c>
      <c r="B40" s="121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1" spans="1:15" ht="132.94999999999999" customHeight="1">
      <c r="A41" s="35" t="s">
        <v>486</v>
      </c>
      <c r="B41" s="35" t="s">
        <v>487</v>
      </c>
      <c r="C41" s="35" t="s">
        <v>488</v>
      </c>
      <c r="D41" s="38" t="s">
        <v>489</v>
      </c>
      <c r="E41" s="38" t="s">
        <v>102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2051</v>
      </c>
    </row>
    <row r="42" spans="1:15" ht="132.94999999999999" customHeight="1">
      <c r="A42" s="35" t="s">
        <v>490</v>
      </c>
      <c r="B42" s="35" t="s">
        <v>491</v>
      </c>
      <c r="C42" s="35" t="s">
        <v>492</v>
      </c>
      <c r="D42" s="38" t="s">
        <v>493</v>
      </c>
      <c r="E42" s="38" t="s">
        <v>102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2052</v>
      </c>
    </row>
    <row r="43" spans="1:15" ht="27" customHeight="1">
      <c r="A43" s="121" t="s">
        <v>494</v>
      </c>
      <c r="B43" s="121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3"/>
    </row>
    <row r="44" spans="1:15" ht="132.94999999999999" customHeight="1">
      <c r="A44" s="35" t="s">
        <v>495</v>
      </c>
      <c r="B44" s="35" t="s">
        <v>496</v>
      </c>
      <c r="C44" s="35" t="s">
        <v>497</v>
      </c>
      <c r="D44" s="38" t="s">
        <v>498</v>
      </c>
      <c r="E44" s="38" t="s">
        <v>102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2053</v>
      </c>
    </row>
    <row r="45" spans="1:15" ht="132.94999999999999" customHeight="1">
      <c r="A45" s="35" t="s">
        <v>499</v>
      </c>
      <c r="B45" s="35" t="s">
        <v>500</v>
      </c>
      <c r="C45" s="35" t="s">
        <v>501</v>
      </c>
      <c r="D45" s="38" t="s">
        <v>502</v>
      </c>
      <c r="E45" s="38" t="s">
        <v>102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2054</v>
      </c>
    </row>
    <row r="46" spans="1:15" ht="132.94999999999999" customHeight="1">
      <c r="A46" s="35" t="s">
        <v>503</v>
      </c>
      <c r="B46" s="35" t="s">
        <v>504</v>
      </c>
      <c r="C46" s="35" t="s">
        <v>505</v>
      </c>
      <c r="D46" s="38" t="s">
        <v>506</v>
      </c>
      <c r="E46" s="38" t="s">
        <v>102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2055</v>
      </c>
    </row>
    <row r="47" spans="1:15" ht="132.94999999999999" customHeight="1">
      <c r="A47" s="35" t="s">
        <v>507</v>
      </c>
      <c r="B47" s="35" t="s">
        <v>508</v>
      </c>
      <c r="C47" s="35" t="s">
        <v>509</v>
      </c>
      <c r="D47" s="38" t="s">
        <v>510</v>
      </c>
      <c r="E47" s="38" t="s">
        <v>102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2056</v>
      </c>
    </row>
    <row r="48" spans="1:15" ht="132.94999999999999" customHeight="1">
      <c r="A48" s="35" t="s">
        <v>511</v>
      </c>
      <c r="B48" s="35" t="s">
        <v>512</v>
      </c>
      <c r="C48" s="35" t="s">
        <v>513</v>
      </c>
      <c r="D48" s="38" t="s">
        <v>514</v>
      </c>
      <c r="E48" s="38" t="s">
        <v>102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2057</v>
      </c>
    </row>
    <row r="49" spans="1:15" ht="27" customHeight="1">
      <c r="A49" s="121" t="s">
        <v>515</v>
      </c>
      <c r="B49" s="121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3"/>
    </row>
    <row r="50" spans="1:15" ht="132.94999999999999" customHeight="1">
      <c r="A50" s="35" t="s">
        <v>516</v>
      </c>
      <c r="B50" s="35" t="s">
        <v>517</v>
      </c>
      <c r="C50" s="35" t="s">
        <v>518</v>
      </c>
      <c r="D50" s="38" t="s">
        <v>519</v>
      </c>
      <c r="E50" s="38" t="s">
        <v>102</v>
      </c>
      <c r="F50" s="35" t="s">
        <v>24</v>
      </c>
      <c r="G50" s="35"/>
      <c r="H50" s="35" t="s">
        <v>1957</v>
      </c>
      <c r="I50" s="35"/>
      <c r="J50" s="35"/>
      <c r="K50" s="35"/>
      <c r="L50" s="35"/>
      <c r="M50" s="35"/>
      <c r="N50" s="35"/>
      <c r="O50" s="35" t="s">
        <v>2058</v>
      </c>
    </row>
    <row r="51" spans="1:15" ht="132.94999999999999" customHeight="1">
      <c r="A51" s="35" t="s">
        <v>520</v>
      </c>
      <c r="B51" s="35" t="s">
        <v>521</v>
      </c>
      <c r="C51" s="35" t="s">
        <v>522</v>
      </c>
      <c r="D51" s="38" t="s">
        <v>523</v>
      </c>
      <c r="E51" s="38" t="s">
        <v>102</v>
      </c>
      <c r="F51" s="35" t="s">
        <v>24</v>
      </c>
      <c r="G51" s="35"/>
      <c r="H51" s="35" t="s">
        <v>1957</v>
      </c>
      <c r="I51" s="35"/>
      <c r="J51" s="35"/>
      <c r="K51" s="35"/>
      <c r="L51" s="35"/>
      <c r="M51" s="35"/>
      <c r="N51" s="35"/>
      <c r="O51" s="35" t="s">
        <v>2059</v>
      </c>
    </row>
    <row r="52" spans="1:15" ht="120" customHeight="1">
      <c r="A52" s="35" t="s">
        <v>524</v>
      </c>
      <c r="B52" s="35" t="s">
        <v>525</v>
      </c>
      <c r="C52" s="35" t="s">
        <v>526</v>
      </c>
      <c r="D52" s="38" t="s">
        <v>527</v>
      </c>
      <c r="E52" s="38" t="s">
        <v>102</v>
      </c>
      <c r="F52" s="35" t="s">
        <v>24</v>
      </c>
      <c r="G52" s="35"/>
      <c r="H52" s="35" t="s">
        <v>1957</v>
      </c>
      <c r="I52" s="35"/>
      <c r="J52" s="35"/>
      <c r="K52" s="35"/>
      <c r="L52" s="35"/>
      <c r="M52" s="35"/>
      <c r="N52" s="35"/>
      <c r="O52" s="35" t="s">
        <v>2060</v>
      </c>
    </row>
    <row r="53" spans="1:15" ht="132.94999999999999" customHeight="1">
      <c r="A53" s="35" t="s">
        <v>528</v>
      </c>
      <c r="B53" s="35" t="s">
        <v>529</v>
      </c>
      <c r="C53" s="35" t="s">
        <v>530</v>
      </c>
      <c r="D53" s="38" t="s">
        <v>531</v>
      </c>
      <c r="E53" s="38" t="s">
        <v>102</v>
      </c>
      <c r="F53" s="35" t="s">
        <v>24</v>
      </c>
      <c r="G53" s="35"/>
      <c r="H53" s="35" t="s">
        <v>1957</v>
      </c>
      <c r="I53" s="35"/>
      <c r="J53" s="35"/>
      <c r="K53" s="35"/>
      <c r="L53" s="35"/>
      <c r="M53" s="35"/>
      <c r="N53" s="35"/>
      <c r="O53" s="35" t="s">
        <v>2061</v>
      </c>
    </row>
    <row r="54" spans="1:15" ht="132.94999999999999" customHeight="1">
      <c r="A54" s="35" t="s">
        <v>532</v>
      </c>
      <c r="B54" s="35" t="s">
        <v>533</v>
      </c>
      <c r="C54" s="35" t="s">
        <v>534</v>
      </c>
      <c r="D54" s="38" t="s">
        <v>535</v>
      </c>
      <c r="E54" s="38" t="s">
        <v>102</v>
      </c>
      <c r="F54" s="35" t="s">
        <v>24</v>
      </c>
      <c r="G54" s="35"/>
      <c r="H54" s="35" t="s">
        <v>1957</v>
      </c>
      <c r="I54" s="35"/>
      <c r="J54" s="35"/>
      <c r="K54" s="35"/>
      <c r="L54" s="35"/>
      <c r="M54" s="35"/>
      <c r="N54" s="35"/>
      <c r="O54" s="35" t="s">
        <v>2062</v>
      </c>
    </row>
    <row r="55" spans="1:15" ht="132.94999999999999" customHeight="1">
      <c r="A55" s="35" t="s">
        <v>536</v>
      </c>
      <c r="B55" s="35" t="s">
        <v>537</v>
      </c>
      <c r="C55" s="35" t="s">
        <v>538</v>
      </c>
      <c r="D55" s="38" t="s">
        <v>539</v>
      </c>
      <c r="E55" s="38" t="s">
        <v>102</v>
      </c>
      <c r="F55" s="35" t="s">
        <v>24</v>
      </c>
      <c r="G55" s="35"/>
      <c r="H55" s="35" t="s">
        <v>1957</v>
      </c>
      <c r="I55" s="35"/>
      <c r="J55" s="35"/>
      <c r="K55" s="35"/>
      <c r="L55" s="35"/>
      <c r="M55" s="35"/>
      <c r="N55" s="35"/>
      <c r="O55" s="35" t="s">
        <v>2063</v>
      </c>
    </row>
    <row r="56" spans="1:15" ht="120" customHeight="1">
      <c r="A56" s="35" t="s">
        <v>540</v>
      </c>
      <c r="B56" s="35" t="s">
        <v>541</v>
      </c>
      <c r="C56" s="35" t="s">
        <v>542</v>
      </c>
      <c r="D56" s="38" t="s">
        <v>543</v>
      </c>
      <c r="E56" s="38" t="s">
        <v>102</v>
      </c>
      <c r="F56" s="35" t="s">
        <v>24</v>
      </c>
      <c r="G56" s="35"/>
      <c r="H56" s="35" t="s">
        <v>1957</v>
      </c>
      <c r="I56" s="35"/>
      <c r="J56" s="35"/>
      <c r="K56" s="35"/>
      <c r="L56" s="35"/>
      <c r="M56" s="35"/>
      <c r="N56" s="35"/>
      <c r="O56" s="35" t="s">
        <v>2064</v>
      </c>
    </row>
    <row r="57" spans="1:15" ht="132.94999999999999" customHeight="1">
      <c r="A57" s="35" t="s">
        <v>544</v>
      </c>
      <c r="B57" s="35" t="s">
        <v>545</v>
      </c>
      <c r="C57" s="35" t="s">
        <v>546</v>
      </c>
      <c r="D57" s="38" t="s">
        <v>547</v>
      </c>
      <c r="E57" s="38" t="s">
        <v>102</v>
      </c>
      <c r="F57" s="35" t="s">
        <v>24</v>
      </c>
      <c r="G57" s="35"/>
      <c r="H57" s="35" t="s">
        <v>1957</v>
      </c>
      <c r="I57" s="35"/>
      <c r="J57" s="35"/>
      <c r="K57" s="35"/>
      <c r="L57" s="35"/>
      <c r="M57" s="35"/>
      <c r="N57" s="35"/>
      <c r="O57" s="35" t="s">
        <v>2065</v>
      </c>
    </row>
    <row r="58" spans="1:15" ht="27" customHeight="1">
      <c r="A58" s="121" t="s">
        <v>548</v>
      </c>
      <c r="B58" s="121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3"/>
    </row>
    <row r="59" spans="1:15" ht="132.94999999999999" customHeight="1">
      <c r="A59" s="35" t="s">
        <v>549</v>
      </c>
      <c r="B59" s="35" t="s">
        <v>550</v>
      </c>
      <c r="C59" s="35" t="s">
        <v>551</v>
      </c>
      <c r="D59" s="38" t="s">
        <v>552</v>
      </c>
      <c r="E59" s="38" t="s">
        <v>102</v>
      </c>
      <c r="F59" s="35" t="s">
        <v>24</v>
      </c>
      <c r="G59" s="35"/>
      <c r="H59" s="35" t="s">
        <v>1957</v>
      </c>
      <c r="I59" s="35"/>
      <c r="J59" s="35"/>
      <c r="K59" s="35"/>
      <c r="L59" s="35"/>
      <c r="M59" s="35"/>
      <c r="N59" s="35"/>
      <c r="O59" s="35" t="s">
        <v>2066</v>
      </c>
    </row>
    <row r="60" spans="1:15" ht="132.94999999999999" customHeight="1">
      <c r="A60" s="35" t="s">
        <v>553</v>
      </c>
      <c r="B60" s="35" t="s">
        <v>554</v>
      </c>
      <c r="C60" s="35" t="s">
        <v>555</v>
      </c>
      <c r="D60" s="38" t="s">
        <v>556</v>
      </c>
      <c r="E60" s="38" t="s">
        <v>102</v>
      </c>
      <c r="F60" s="35" t="s">
        <v>24</v>
      </c>
      <c r="G60" s="35"/>
      <c r="H60" s="35" t="s">
        <v>1957</v>
      </c>
      <c r="I60" s="35"/>
      <c r="J60" s="35"/>
      <c r="K60" s="35"/>
      <c r="L60" s="35"/>
      <c r="M60" s="35"/>
      <c r="N60" s="35"/>
      <c r="O60" s="35" t="s">
        <v>2067</v>
      </c>
    </row>
    <row r="61" spans="1:15" ht="27" customHeight="1">
      <c r="A61" s="121" t="s">
        <v>557</v>
      </c>
      <c r="B61" s="121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3"/>
    </row>
    <row r="62" spans="1:15" ht="120" customHeight="1">
      <c r="A62" s="35" t="s">
        <v>558</v>
      </c>
      <c r="B62" s="35" t="s">
        <v>559</v>
      </c>
      <c r="C62" s="35" t="s">
        <v>560</v>
      </c>
      <c r="D62" s="38" t="s">
        <v>561</v>
      </c>
      <c r="E62" s="38" t="s">
        <v>102</v>
      </c>
      <c r="F62" s="35" t="s">
        <v>24</v>
      </c>
      <c r="G62" s="35"/>
      <c r="H62" s="35" t="s">
        <v>1957</v>
      </c>
      <c r="I62" s="35"/>
      <c r="J62" s="35"/>
      <c r="K62" s="35"/>
      <c r="L62" s="35"/>
      <c r="M62" s="35"/>
      <c r="N62" s="35"/>
      <c r="O62" s="35" t="s">
        <v>2068</v>
      </c>
    </row>
    <row r="63" spans="1:15" ht="132.94999999999999" customHeight="1">
      <c r="A63" s="35" t="s">
        <v>562</v>
      </c>
      <c r="B63" s="35" t="s">
        <v>563</v>
      </c>
      <c r="C63" s="35" t="s">
        <v>564</v>
      </c>
      <c r="D63" s="38" t="s">
        <v>565</v>
      </c>
      <c r="E63" s="38" t="s">
        <v>102</v>
      </c>
      <c r="F63" s="35" t="s">
        <v>24</v>
      </c>
      <c r="G63" s="35"/>
      <c r="H63" s="35" t="s">
        <v>1957</v>
      </c>
      <c r="I63" s="35"/>
      <c r="J63" s="35"/>
      <c r="K63" s="35"/>
      <c r="L63" s="35"/>
      <c r="M63" s="35"/>
      <c r="N63" s="35"/>
      <c r="O63" s="35" t="s">
        <v>2069</v>
      </c>
    </row>
    <row r="64" spans="1:15" ht="132.94999999999999" customHeight="1">
      <c r="A64" s="35" t="s">
        <v>566</v>
      </c>
      <c r="B64" s="35" t="s">
        <v>567</v>
      </c>
      <c r="C64" s="35" t="s">
        <v>568</v>
      </c>
      <c r="D64" s="38" t="s">
        <v>569</v>
      </c>
      <c r="E64" s="38" t="s">
        <v>102</v>
      </c>
      <c r="F64" s="35" t="s">
        <v>24</v>
      </c>
      <c r="G64" s="35"/>
      <c r="H64" s="35" t="s">
        <v>1957</v>
      </c>
      <c r="I64" s="35"/>
      <c r="J64" s="35"/>
      <c r="K64" s="35"/>
      <c r="L64" s="35"/>
      <c r="M64" s="35"/>
      <c r="N64" s="35"/>
      <c r="O64" s="35" t="s">
        <v>2070</v>
      </c>
    </row>
    <row r="65" spans="1:15" ht="120" customHeight="1">
      <c r="A65" s="35" t="s">
        <v>570</v>
      </c>
      <c r="B65" s="35" t="s">
        <v>571</v>
      </c>
      <c r="C65" s="35" t="s">
        <v>572</v>
      </c>
      <c r="D65" s="38" t="s">
        <v>573</v>
      </c>
      <c r="E65" s="38" t="s">
        <v>102</v>
      </c>
      <c r="F65" s="35" t="s">
        <v>24</v>
      </c>
      <c r="G65" s="35"/>
      <c r="H65" s="35" t="s">
        <v>1957</v>
      </c>
      <c r="I65" s="35"/>
      <c r="J65" s="35"/>
      <c r="K65" s="35"/>
      <c r="L65" s="35"/>
      <c r="M65" s="35"/>
      <c r="N65" s="35"/>
      <c r="O65" s="35" t="s">
        <v>2071</v>
      </c>
    </row>
    <row r="66" spans="1:15" ht="132.94999999999999" customHeight="1">
      <c r="A66" s="35" t="s">
        <v>574</v>
      </c>
      <c r="B66" s="35" t="s">
        <v>575</v>
      </c>
      <c r="C66" s="35" t="s">
        <v>576</v>
      </c>
      <c r="D66" s="38" t="s">
        <v>577</v>
      </c>
      <c r="E66" s="38" t="s">
        <v>102</v>
      </c>
      <c r="F66" s="35" t="s">
        <v>24</v>
      </c>
      <c r="G66" s="35"/>
      <c r="H66" s="35" t="s">
        <v>1957</v>
      </c>
      <c r="I66" s="35"/>
      <c r="J66" s="35"/>
      <c r="K66" s="35"/>
      <c r="L66" s="35"/>
      <c r="M66" s="35"/>
      <c r="N66" s="35"/>
      <c r="O66" s="35" t="s">
        <v>2072</v>
      </c>
    </row>
    <row r="67" spans="1:15" ht="132.94999999999999" customHeight="1">
      <c r="A67" s="35" t="s">
        <v>578</v>
      </c>
      <c r="B67" s="35" t="s">
        <v>579</v>
      </c>
      <c r="C67" s="35" t="s">
        <v>580</v>
      </c>
      <c r="D67" s="38" t="s">
        <v>581</v>
      </c>
      <c r="E67" s="38" t="s">
        <v>102</v>
      </c>
      <c r="F67" s="35" t="s">
        <v>24</v>
      </c>
      <c r="G67" s="35"/>
      <c r="H67" s="35" t="s">
        <v>1957</v>
      </c>
      <c r="I67" s="35"/>
      <c r="J67" s="35"/>
      <c r="K67" s="35"/>
      <c r="L67" s="35"/>
      <c r="M67" s="35"/>
      <c r="N67" s="35"/>
      <c r="O67" s="35" t="s">
        <v>2073</v>
      </c>
    </row>
    <row r="68" spans="1:15" ht="120" customHeight="1">
      <c r="A68" s="35" t="s">
        <v>582</v>
      </c>
      <c r="B68" s="35" t="s">
        <v>583</v>
      </c>
      <c r="C68" s="35" t="s">
        <v>584</v>
      </c>
      <c r="D68" s="38" t="s">
        <v>585</v>
      </c>
      <c r="E68" s="38" t="s">
        <v>102</v>
      </c>
      <c r="F68" s="35" t="s">
        <v>24</v>
      </c>
      <c r="G68" s="35"/>
      <c r="H68" s="35" t="s">
        <v>1957</v>
      </c>
      <c r="I68" s="35"/>
      <c r="J68" s="35"/>
      <c r="K68" s="35"/>
      <c r="L68" s="35"/>
      <c r="M68" s="35"/>
      <c r="N68" s="35"/>
      <c r="O68" s="35" t="s">
        <v>2074</v>
      </c>
    </row>
    <row r="69" spans="1:15" ht="27" customHeight="1">
      <c r="A69" s="121" t="s">
        <v>586</v>
      </c>
      <c r="B69" s="121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3"/>
    </row>
    <row r="70" spans="1:15" ht="132.94999999999999" customHeight="1">
      <c r="A70" s="35" t="s">
        <v>587</v>
      </c>
      <c r="B70" s="35" t="s">
        <v>588</v>
      </c>
      <c r="C70" s="35" t="s">
        <v>589</v>
      </c>
      <c r="D70" s="38" t="s">
        <v>590</v>
      </c>
      <c r="E70" s="38" t="s">
        <v>102</v>
      </c>
      <c r="F70" s="35" t="s">
        <v>24</v>
      </c>
      <c r="G70" s="35"/>
      <c r="H70" s="35" t="s">
        <v>1957</v>
      </c>
      <c r="I70" s="35"/>
      <c r="J70" s="35"/>
      <c r="K70" s="35"/>
      <c r="L70" s="35"/>
      <c r="M70" s="35"/>
      <c r="N70" s="35"/>
      <c r="O70" s="35" t="s">
        <v>2075</v>
      </c>
    </row>
    <row r="71" spans="1:15" ht="27" customHeight="1">
      <c r="A71" s="121" t="s">
        <v>591</v>
      </c>
      <c r="B71" s="121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3"/>
    </row>
    <row r="72" spans="1:15" ht="132.94999999999999" customHeight="1">
      <c r="A72" s="35" t="s">
        <v>592</v>
      </c>
      <c r="B72" s="35" t="s">
        <v>593</v>
      </c>
      <c r="C72" s="35" t="s">
        <v>594</v>
      </c>
      <c r="D72" s="38" t="s">
        <v>595</v>
      </c>
      <c r="E72" s="38" t="s">
        <v>102</v>
      </c>
      <c r="F72" s="35" t="s">
        <v>24</v>
      </c>
      <c r="G72" s="35"/>
      <c r="H72" s="35" t="s">
        <v>1957</v>
      </c>
      <c r="I72" s="35"/>
      <c r="J72" s="35"/>
      <c r="K72" s="35"/>
      <c r="L72" s="35"/>
      <c r="M72" s="35"/>
      <c r="N72" s="35"/>
      <c r="O72" s="35" t="s">
        <v>2076</v>
      </c>
    </row>
    <row r="73" spans="1:15" ht="132.94999999999999" customHeight="1">
      <c r="A73" s="35" t="s">
        <v>596</v>
      </c>
      <c r="B73" s="35" t="s">
        <v>597</v>
      </c>
      <c r="C73" s="35" t="s">
        <v>598</v>
      </c>
      <c r="D73" s="38" t="s">
        <v>599</v>
      </c>
      <c r="E73" s="38" t="s">
        <v>102</v>
      </c>
      <c r="F73" s="35" t="s">
        <v>24</v>
      </c>
      <c r="G73" s="35"/>
      <c r="H73" s="35" t="s">
        <v>1957</v>
      </c>
      <c r="I73" s="35"/>
      <c r="J73" s="35"/>
      <c r="K73" s="35"/>
      <c r="L73" s="35"/>
      <c r="M73" s="35"/>
      <c r="N73" s="35"/>
      <c r="O73" s="35" t="s">
        <v>2077</v>
      </c>
    </row>
    <row r="74" spans="1:15" ht="146.1" customHeight="1">
      <c r="A74" s="35" t="s">
        <v>600</v>
      </c>
      <c r="B74" s="35" t="s">
        <v>601</v>
      </c>
      <c r="C74" s="35" t="s">
        <v>602</v>
      </c>
      <c r="D74" s="38" t="s">
        <v>603</v>
      </c>
      <c r="E74" s="38" t="s">
        <v>102</v>
      </c>
      <c r="F74" s="35" t="s">
        <v>24</v>
      </c>
      <c r="G74" s="35"/>
      <c r="H74" s="35" t="s">
        <v>1957</v>
      </c>
      <c r="I74" s="35"/>
      <c r="J74" s="35"/>
      <c r="K74" s="35"/>
      <c r="L74" s="35"/>
      <c r="M74" s="35"/>
      <c r="N74" s="35"/>
      <c r="O74" s="35" t="s">
        <v>2078</v>
      </c>
    </row>
    <row r="75" spans="1:15" ht="120" customHeight="1">
      <c r="A75" s="35" t="s">
        <v>604</v>
      </c>
      <c r="B75" s="35" t="s">
        <v>605</v>
      </c>
      <c r="C75" s="35" t="s">
        <v>606</v>
      </c>
      <c r="D75" s="38" t="s">
        <v>607</v>
      </c>
      <c r="E75" s="38" t="s">
        <v>102</v>
      </c>
      <c r="F75" s="35" t="s">
        <v>24</v>
      </c>
      <c r="G75" s="35"/>
      <c r="H75" s="35" t="s">
        <v>1957</v>
      </c>
      <c r="I75" s="35"/>
      <c r="J75" s="35"/>
      <c r="K75" s="35"/>
      <c r="L75" s="35"/>
      <c r="M75" s="35"/>
      <c r="N75" s="35"/>
      <c r="O75" s="35" t="s">
        <v>2079</v>
      </c>
    </row>
    <row r="76" spans="1:15" ht="120" customHeight="1">
      <c r="A76" s="35" t="s">
        <v>608</v>
      </c>
      <c r="B76" s="35" t="s">
        <v>609</v>
      </c>
      <c r="C76" s="35" t="s">
        <v>610</v>
      </c>
      <c r="D76" s="38" t="s">
        <v>611</v>
      </c>
      <c r="E76" s="38" t="s">
        <v>102</v>
      </c>
      <c r="F76" s="35" t="s">
        <v>24</v>
      </c>
      <c r="G76" s="35"/>
      <c r="H76" s="35" t="s">
        <v>1957</v>
      </c>
      <c r="I76" s="35"/>
      <c r="J76" s="35"/>
      <c r="K76" s="35"/>
      <c r="L76" s="35"/>
      <c r="M76" s="35"/>
      <c r="N76" s="35"/>
      <c r="O76" s="35" t="s">
        <v>2080</v>
      </c>
    </row>
    <row r="77" spans="1:15" ht="132.94999999999999" customHeight="1">
      <c r="A77" s="35" t="s">
        <v>612</v>
      </c>
      <c r="B77" s="35" t="s">
        <v>613</v>
      </c>
      <c r="C77" s="35" t="s">
        <v>614</v>
      </c>
      <c r="D77" s="38" t="s">
        <v>615</v>
      </c>
      <c r="E77" s="38" t="s">
        <v>102</v>
      </c>
      <c r="F77" s="35" t="s">
        <v>24</v>
      </c>
      <c r="G77" s="35"/>
      <c r="H77" s="35" t="s">
        <v>1957</v>
      </c>
      <c r="I77" s="35"/>
      <c r="J77" s="35"/>
      <c r="K77" s="35"/>
      <c r="L77" s="35"/>
      <c r="M77" s="35"/>
      <c r="N77" s="35"/>
      <c r="O77" s="35" t="s">
        <v>2081</v>
      </c>
    </row>
    <row r="78" spans="1:15" ht="132.94999999999999" customHeight="1">
      <c r="A78" s="35" t="s">
        <v>616</v>
      </c>
      <c r="B78" s="35" t="s">
        <v>617</v>
      </c>
      <c r="C78" s="35" t="s">
        <v>618</v>
      </c>
      <c r="D78" s="38" t="s">
        <v>619</v>
      </c>
      <c r="E78" s="38" t="s">
        <v>102</v>
      </c>
      <c r="F78" s="35" t="s">
        <v>24</v>
      </c>
      <c r="G78" s="35"/>
      <c r="H78" s="35" t="s">
        <v>1957</v>
      </c>
      <c r="I78" s="35"/>
      <c r="J78" s="35"/>
      <c r="K78" s="35"/>
      <c r="L78" s="35"/>
      <c r="M78" s="35"/>
      <c r="N78" s="35"/>
      <c r="O78" s="35" t="s">
        <v>2082</v>
      </c>
    </row>
    <row r="79" spans="1:15" ht="120" customHeight="1">
      <c r="A79" s="35" t="s">
        <v>620</v>
      </c>
      <c r="B79" s="35" t="s">
        <v>621</v>
      </c>
      <c r="C79" s="35" t="s">
        <v>622</v>
      </c>
      <c r="D79" s="38" t="s">
        <v>623</v>
      </c>
      <c r="E79" s="38" t="s">
        <v>102</v>
      </c>
      <c r="F79" s="35" t="s">
        <v>24</v>
      </c>
      <c r="G79" s="35"/>
      <c r="H79" s="35" t="s">
        <v>1957</v>
      </c>
      <c r="I79" s="35"/>
      <c r="J79" s="35"/>
      <c r="K79" s="35"/>
      <c r="L79" s="35"/>
      <c r="M79" s="35"/>
      <c r="N79" s="35"/>
      <c r="O79" s="35" t="s">
        <v>2083</v>
      </c>
    </row>
    <row r="80" spans="1:15" ht="146.1" customHeight="1">
      <c r="A80" s="35" t="s">
        <v>624</v>
      </c>
      <c r="B80" s="35" t="s">
        <v>625</v>
      </c>
      <c r="C80" s="35" t="s">
        <v>626</v>
      </c>
      <c r="D80" s="38" t="s">
        <v>627</v>
      </c>
      <c r="E80" s="38" t="s">
        <v>102</v>
      </c>
      <c r="F80" s="35" t="s">
        <v>24</v>
      </c>
      <c r="G80" s="35"/>
      <c r="H80" s="35" t="s">
        <v>1957</v>
      </c>
      <c r="I80" s="35"/>
      <c r="J80" s="35"/>
      <c r="K80" s="35"/>
      <c r="L80" s="35"/>
      <c r="M80" s="35"/>
      <c r="N80" s="35"/>
      <c r="O80" s="35" t="s">
        <v>2084</v>
      </c>
    </row>
    <row r="81" spans="1:15" ht="132.94999999999999" customHeight="1">
      <c r="A81" s="35" t="s">
        <v>628</v>
      </c>
      <c r="B81" s="35" t="s">
        <v>629</v>
      </c>
      <c r="C81" s="35" t="s">
        <v>630</v>
      </c>
      <c r="D81" s="38" t="s">
        <v>631</v>
      </c>
      <c r="E81" s="38" t="s">
        <v>102</v>
      </c>
      <c r="F81" s="35" t="s">
        <v>24</v>
      </c>
      <c r="G81" s="35"/>
      <c r="H81" s="35" t="s">
        <v>1957</v>
      </c>
      <c r="I81" s="35"/>
      <c r="J81" s="35"/>
      <c r="K81" s="35"/>
      <c r="L81" s="35"/>
      <c r="M81" s="35"/>
      <c r="N81" s="35"/>
      <c r="O81" s="35" t="s">
        <v>2085</v>
      </c>
    </row>
    <row r="82" spans="1:15" ht="132.94999999999999" customHeight="1">
      <c r="A82" s="35" t="s">
        <v>632</v>
      </c>
      <c r="B82" s="35" t="s">
        <v>633</v>
      </c>
      <c r="C82" s="35" t="s">
        <v>634</v>
      </c>
      <c r="D82" s="38" t="s">
        <v>635</v>
      </c>
      <c r="E82" s="38" t="s">
        <v>102</v>
      </c>
      <c r="F82" s="35" t="s">
        <v>24</v>
      </c>
      <c r="G82" s="35"/>
      <c r="H82" s="35" t="s">
        <v>1957</v>
      </c>
      <c r="I82" s="35"/>
      <c r="J82" s="35"/>
      <c r="K82" s="35"/>
      <c r="L82" s="35"/>
      <c r="M82" s="35"/>
      <c r="N82" s="35"/>
      <c r="O82" s="35" t="s">
        <v>2086</v>
      </c>
    </row>
    <row r="83" spans="1:15" ht="27" customHeight="1">
      <c r="A83" s="121" t="s">
        <v>636</v>
      </c>
      <c r="B83" s="121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spans="1:15" ht="132.94999999999999" customHeight="1">
      <c r="A84" s="35" t="s">
        <v>637</v>
      </c>
      <c r="B84" s="35" t="s">
        <v>638</v>
      </c>
      <c r="C84" s="35" t="s">
        <v>639</v>
      </c>
      <c r="D84" s="38" t="s">
        <v>640</v>
      </c>
      <c r="E84" s="38" t="s">
        <v>102</v>
      </c>
      <c r="F84" s="35" t="s">
        <v>24</v>
      </c>
      <c r="G84" s="35"/>
      <c r="H84" s="35" t="s">
        <v>1957</v>
      </c>
      <c r="I84" s="35"/>
      <c r="J84" s="35"/>
      <c r="K84" s="35"/>
      <c r="L84" s="35"/>
      <c r="M84" s="35"/>
      <c r="N84" s="35"/>
      <c r="O84" s="35" t="s">
        <v>2087</v>
      </c>
    </row>
    <row r="85" spans="1:15" ht="120" customHeight="1">
      <c r="A85" s="35" t="s">
        <v>641</v>
      </c>
      <c r="B85" s="35" t="s">
        <v>642</v>
      </c>
      <c r="C85" s="35" t="s">
        <v>643</v>
      </c>
      <c r="D85" s="38" t="s">
        <v>644</v>
      </c>
      <c r="E85" s="38" t="s">
        <v>102</v>
      </c>
      <c r="F85" s="35" t="s">
        <v>24</v>
      </c>
      <c r="G85" s="35"/>
      <c r="H85" s="35" t="s">
        <v>1957</v>
      </c>
      <c r="I85" s="35"/>
      <c r="J85" s="35"/>
      <c r="K85" s="35"/>
      <c r="L85" s="35"/>
      <c r="M85" s="35"/>
      <c r="N85" s="35"/>
      <c r="O85" s="35" t="s">
        <v>2088</v>
      </c>
    </row>
    <row r="86" spans="1:15" ht="132.94999999999999" customHeight="1">
      <c r="A86" s="35" t="s">
        <v>645</v>
      </c>
      <c r="B86" s="35" t="s">
        <v>646</v>
      </c>
      <c r="C86" s="35" t="s">
        <v>647</v>
      </c>
      <c r="D86" s="38" t="s">
        <v>648</v>
      </c>
      <c r="E86" s="38" t="s">
        <v>102</v>
      </c>
      <c r="F86" s="35" t="s">
        <v>24</v>
      </c>
      <c r="G86" s="35"/>
      <c r="H86" s="35" t="s">
        <v>1957</v>
      </c>
      <c r="I86" s="35"/>
      <c r="J86" s="35"/>
      <c r="K86" s="35"/>
      <c r="L86" s="35"/>
      <c r="M86" s="35"/>
      <c r="N86" s="35"/>
      <c r="O86" s="35" t="s">
        <v>2089</v>
      </c>
    </row>
    <row r="87" spans="1:15" ht="120" customHeight="1">
      <c r="A87" s="35" t="s">
        <v>649</v>
      </c>
      <c r="B87" s="35" t="s">
        <v>650</v>
      </c>
      <c r="C87" s="35" t="s">
        <v>651</v>
      </c>
      <c r="D87" s="38" t="s">
        <v>652</v>
      </c>
      <c r="E87" s="38" t="s">
        <v>102</v>
      </c>
      <c r="F87" s="35" t="s">
        <v>24</v>
      </c>
      <c r="G87" s="35"/>
      <c r="H87" s="35" t="s">
        <v>1957</v>
      </c>
      <c r="I87" s="35"/>
      <c r="J87" s="35"/>
      <c r="K87" s="35"/>
      <c r="L87" s="35"/>
      <c r="M87" s="35"/>
      <c r="N87" s="35"/>
      <c r="O87" s="35" t="s">
        <v>2090</v>
      </c>
    </row>
  </sheetData>
  <mergeCells count="3">
    <mergeCell ref="B2:E2"/>
    <mergeCell ref="B3:E3"/>
    <mergeCell ref="B4:E4"/>
  </mergeCells>
  <dataValidations count="3">
    <dataValidation allowBlank="1" showErrorMessage="1" sqref="F10 I10 L10" xr:uid="{00000000-0002-0000-0400-000000000000}"/>
    <dataValidation type="list" allowBlank="1" showErrorMessage="1" sqref="G2:G3 M18:M145 M9 M2:M3 J18:J145 J9 J2:J3 G18:G145 G9" xr:uid="{00000000-0002-0000-0400-000001000000}">
      <formula1>$R$2:$R$5</formula1>
      <formula2>0</formula2>
    </dataValidation>
    <dataValidation type="list" sqref="F12:F87 L12:L87 I12:I87" xr:uid="{00000000-0002-0000-0400-00000A000000}">
      <formula1>$R$2:$R$5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9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59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62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35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35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653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32.94999999999999" customHeight="1">
      <c r="A12" s="35" t="s">
        <v>654</v>
      </c>
      <c r="B12" s="35" t="s">
        <v>655</v>
      </c>
      <c r="C12" s="35" t="s">
        <v>656</v>
      </c>
      <c r="D12" s="38" t="s">
        <v>657</v>
      </c>
      <c r="E12" s="38" t="s">
        <v>102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2091</v>
      </c>
      <c r="P12" s="37"/>
      <c r="Q12" s="36"/>
      <c r="R12" s="37"/>
    </row>
    <row r="13" spans="1:18" ht="132.94999999999999" customHeight="1">
      <c r="A13" s="35" t="s">
        <v>658</v>
      </c>
      <c r="B13" s="35" t="s">
        <v>659</v>
      </c>
      <c r="C13" s="35" t="s">
        <v>660</v>
      </c>
      <c r="D13" s="38" t="s">
        <v>661</v>
      </c>
      <c r="E13" s="38" t="s">
        <v>102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2092</v>
      </c>
      <c r="P13" s="1"/>
      <c r="Q13" s="36"/>
      <c r="R13" s="1"/>
    </row>
    <row r="14" spans="1:18" ht="132.94999999999999" customHeight="1">
      <c r="A14" s="35" t="s">
        <v>662</v>
      </c>
      <c r="B14" s="35" t="s">
        <v>663</v>
      </c>
      <c r="C14" s="35" t="s">
        <v>664</v>
      </c>
      <c r="D14" s="38" t="s">
        <v>665</v>
      </c>
      <c r="E14" s="38" t="s">
        <v>102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2093</v>
      </c>
      <c r="P14" s="1"/>
      <c r="Q14" s="36"/>
      <c r="R14" s="1"/>
    </row>
    <row r="15" spans="1:18" ht="132.94999999999999" customHeight="1">
      <c r="A15" s="35" t="s">
        <v>666</v>
      </c>
      <c r="B15" s="35" t="s">
        <v>667</v>
      </c>
      <c r="C15" s="35" t="s">
        <v>668</v>
      </c>
      <c r="D15" s="38" t="s">
        <v>669</v>
      </c>
      <c r="E15" s="38" t="s">
        <v>102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2094</v>
      </c>
      <c r="P15" s="29"/>
      <c r="Q15" s="124"/>
      <c r="R15" s="29"/>
    </row>
    <row r="16" spans="1:18" ht="132.94999999999999" customHeight="1">
      <c r="A16" s="35" t="s">
        <v>670</v>
      </c>
      <c r="B16" s="35" t="s">
        <v>671</v>
      </c>
      <c r="C16" s="35" t="s">
        <v>672</v>
      </c>
      <c r="D16" s="38" t="s">
        <v>673</v>
      </c>
      <c r="E16" s="38" t="s">
        <v>102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2095</v>
      </c>
      <c r="P16" s="1"/>
      <c r="Q16" s="36"/>
      <c r="R16" s="1"/>
    </row>
    <row r="17" spans="1:18" ht="120" customHeight="1">
      <c r="A17" s="35" t="s">
        <v>674</v>
      </c>
      <c r="B17" s="35" t="s">
        <v>675</v>
      </c>
      <c r="C17" s="35" t="s">
        <v>676</v>
      </c>
      <c r="D17" s="38" t="s">
        <v>677</v>
      </c>
      <c r="E17" s="38" t="s">
        <v>102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2096</v>
      </c>
      <c r="P17" s="1"/>
      <c r="Q17" s="27"/>
      <c r="R17" s="1"/>
    </row>
    <row r="18" spans="1:18" ht="120" customHeight="1">
      <c r="A18" s="35" t="s">
        <v>678</v>
      </c>
      <c r="B18" s="35" t="s">
        <v>679</v>
      </c>
      <c r="C18" s="35" t="s">
        <v>680</v>
      </c>
      <c r="D18" s="38" t="s">
        <v>681</v>
      </c>
      <c r="E18" s="38" t="s">
        <v>102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2097</v>
      </c>
      <c r="P18" s="29"/>
      <c r="Q18" s="124"/>
      <c r="R18" s="29"/>
    </row>
    <row r="19" spans="1:18" ht="120" customHeight="1">
      <c r="A19" s="35" t="s">
        <v>682</v>
      </c>
      <c r="B19" s="35" t="s">
        <v>683</v>
      </c>
      <c r="C19" s="35" t="s">
        <v>684</v>
      </c>
      <c r="D19" s="38" t="s">
        <v>685</v>
      </c>
      <c r="E19" s="38" t="s">
        <v>102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2098</v>
      </c>
      <c r="P19" s="1"/>
      <c r="Q19" s="36"/>
      <c r="R19" s="1"/>
    </row>
    <row r="20" spans="1:18" ht="132.94999999999999" customHeight="1">
      <c r="A20" s="35" t="s">
        <v>686</v>
      </c>
      <c r="B20" s="35" t="s">
        <v>687</v>
      </c>
      <c r="C20" s="35" t="s">
        <v>688</v>
      </c>
      <c r="D20" s="38" t="s">
        <v>689</v>
      </c>
      <c r="E20" s="38" t="s">
        <v>102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2099</v>
      </c>
    </row>
    <row r="21" spans="1:18" ht="132.94999999999999" customHeight="1">
      <c r="A21" s="35" t="s">
        <v>690</v>
      </c>
      <c r="B21" s="35" t="s">
        <v>691</v>
      </c>
      <c r="C21" s="35" t="s">
        <v>692</v>
      </c>
      <c r="D21" s="38" t="s">
        <v>693</v>
      </c>
      <c r="E21" s="38" t="s">
        <v>102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2100</v>
      </c>
    </row>
    <row r="22" spans="1:18" ht="132.94999999999999" customHeight="1">
      <c r="A22" s="35" t="s">
        <v>694</v>
      </c>
      <c r="B22" s="35" t="s">
        <v>695</v>
      </c>
      <c r="C22" s="35" t="s">
        <v>696</v>
      </c>
      <c r="D22" s="38" t="s">
        <v>697</v>
      </c>
      <c r="E22" s="38" t="s">
        <v>102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2101</v>
      </c>
    </row>
    <row r="23" spans="1:18" ht="132.94999999999999" customHeight="1">
      <c r="A23" s="35" t="s">
        <v>698</v>
      </c>
      <c r="B23" s="35" t="s">
        <v>699</v>
      </c>
      <c r="C23" s="35" t="s">
        <v>700</v>
      </c>
      <c r="D23" s="38" t="s">
        <v>701</v>
      </c>
      <c r="E23" s="38" t="s">
        <v>102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2102</v>
      </c>
    </row>
    <row r="24" spans="1:18" ht="132.94999999999999" customHeight="1">
      <c r="A24" s="35" t="s">
        <v>702</v>
      </c>
      <c r="B24" s="35" t="s">
        <v>703</v>
      </c>
      <c r="C24" s="35" t="s">
        <v>704</v>
      </c>
      <c r="D24" s="38" t="s">
        <v>705</v>
      </c>
      <c r="E24" s="38" t="s">
        <v>102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2103</v>
      </c>
    </row>
    <row r="25" spans="1:18" ht="146.1" customHeight="1">
      <c r="A25" s="35" t="s">
        <v>706</v>
      </c>
      <c r="B25" s="35" t="s">
        <v>707</v>
      </c>
      <c r="C25" s="35" t="s">
        <v>708</v>
      </c>
      <c r="D25" s="38" t="s">
        <v>709</v>
      </c>
      <c r="E25" s="38" t="s">
        <v>102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2104</v>
      </c>
    </row>
    <row r="26" spans="1:18" ht="132.94999999999999" customHeight="1">
      <c r="A26" s="35" t="s">
        <v>710</v>
      </c>
      <c r="B26" s="35" t="s">
        <v>711</v>
      </c>
      <c r="C26" s="35" t="s">
        <v>712</v>
      </c>
      <c r="D26" s="38" t="s">
        <v>713</v>
      </c>
      <c r="E26" s="38" t="s">
        <v>102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2105</v>
      </c>
    </row>
    <row r="27" spans="1:18" ht="132.94999999999999" customHeight="1">
      <c r="A27" s="35" t="s">
        <v>714</v>
      </c>
      <c r="B27" s="35" t="s">
        <v>715</v>
      </c>
      <c r="C27" s="35" t="s">
        <v>716</v>
      </c>
      <c r="D27" s="38" t="s">
        <v>717</v>
      </c>
      <c r="E27" s="38" t="s">
        <v>102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2106</v>
      </c>
    </row>
    <row r="28" spans="1:18" ht="132.94999999999999" customHeight="1">
      <c r="A28" s="35" t="s">
        <v>718</v>
      </c>
      <c r="B28" s="35" t="s">
        <v>719</v>
      </c>
      <c r="C28" s="35" t="s">
        <v>720</v>
      </c>
      <c r="D28" s="38" t="s">
        <v>721</v>
      </c>
      <c r="E28" s="38" t="s">
        <v>102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2107</v>
      </c>
    </row>
    <row r="29" spans="1:18" ht="132.94999999999999" customHeight="1">
      <c r="A29" s="35" t="s">
        <v>722</v>
      </c>
      <c r="B29" s="35" t="s">
        <v>723</v>
      </c>
      <c r="C29" s="35" t="s">
        <v>724</v>
      </c>
      <c r="D29" s="38" t="s">
        <v>725</v>
      </c>
      <c r="E29" s="38" t="s">
        <v>102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2108</v>
      </c>
    </row>
    <row r="30" spans="1:18" ht="132.94999999999999" customHeight="1">
      <c r="A30" s="35" t="s">
        <v>726</v>
      </c>
      <c r="B30" s="35" t="s">
        <v>727</v>
      </c>
      <c r="C30" s="35" t="s">
        <v>728</v>
      </c>
      <c r="D30" s="38" t="s">
        <v>729</v>
      </c>
      <c r="E30" s="38" t="s">
        <v>102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2109</v>
      </c>
    </row>
    <row r="31" spans="1:18" ht="132.94999999999999" customHeight="1">
      <c r="A31" s="35" t="s">
        <v>730</v>
      </c>
      <c r="B31" s="35" t="s">
        <v>731</v>
      </c>
      <c r="C31" s="35" t="s">
        <v>732</v>
      </c>
      <c r="D31" s="38" t="s">
        <v>733</v>
      </c>
      <c r="E31" s="38" t="s">
        <v>102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2110</v>
      </c>
    </row>
    <row r="32" spans="1:18" ht="27" customHeight="1">
      <c r="A32" s="121" t="s">
        <v>734</v>
      </c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3"/>
    </row>
    <row r="33" spans="1:15" ht="120" customHeight="1">
      <c r="A33" s="35" t="s">
        <v>735</v>
      </c>
      <c r="B33" s="35" t="s">
        <v>736</v>
      </c>
      <c r="C33" s="35" t="s">
        <v>737</v>
      </c>
      <c r="D33" s="38" t="s">
        <v>738</v>
      </c>
      <c r="E33" s="38" t="s">
        <v>102</v>
      </c>
      <c r="F33" s="35" t="s">
        <v>24</v>
      </c>
      <c r="G33" s="35"/>
      <c r="H33" s="35" t="s">
        <v>1957</v>
      </c>
      <c r="I33" s="35"/>
      <c r="J33" s="35"/>
      <c r="K33" s="35"/>
      <c r="L33" s="35"/>
      <c r="M33" s="35"/>
      <c r="N33" s="35"/>
      <c r="O33" s="35" t="s">
        <v>2111</v>
      </c>
    </row>
    <row r="34" spans="1:15" ht="146.1" customHeight="1">
      <c r="A34" s="35" t="s">
        <v>739</v>
      </c>
      <c r="B34" s="35" t="s">
        <v>740</v>
      </c>
      <c r="C34" s="35" t="s">
        <v>741</v>
      </c>
      <c r="D34" s="38" t="s">
        <v>742</v>
      </c>
      <c r="E34" s="38" t="s">
        <v>102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2112</v>
      </c>
    </row>
    <row r="35" spans="1:15" ht="132.94999999999999" customHeight="1">
      <c r="A35" s="35" t="s">
        <v>743</v>
      </c>
      <c r="B35" s="35" t="s">
        <v>744</v>
      </c>
      <c r="C35" s="35" t="s">
        <v>745</v>
      </c>
      <c r="D35" s="38" t="s">
        <v>746</v>
      </c>
      <c r="E35" s="38" t="s">
        <v>102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2113</v>
      </c>
    </row>
    <row r="36" spans="1:15" ht="132.94999999999999" customHeight="1">
      <c r="A36" s="35" t="s">
        <v>747</v>
      </c>
      <c r="B36" s="35" t="s">
        <v>748</v>
      </c>
      <c r="C36" s="35" t="s">
        <v>749</v>
      </c>
      <c r="D36" s="38" t="s">
        <v>750</v>
      </c>
      <c r="E36" s="38" t="s">
        <v>102</v>
      </c>
      <c r="F36" s="35" t="s">
        <v>24</v>
      </c>
      <c r="G36" s="35"/>
      <c r="H36" s="35" t="s">
        <v>1957</v>
      </c>
      <c r="I36" s="35"/>
      <c r="J36" s="35"/>
      <c r="K36" s="35"/>
      <c r="L36" s="35"/>
      <c r="M36" s="35"/>
      <c r="N36" s="35"/>
      <c r="O36" s="35" t="s">
        <v>2114</v>
      </c>
    </row>
    <row r="37" spans="1:15" ht="132.94999999999999" customHeight="1">
      <c r="A37" s="35" t="s">
        <v>751</v>
      </c>
      <c r="B37" s="35" t="s">
        <v>752</v>
      </c>
      <c r="C37" s="35" t="s">
        <v>753</v>
      </c>
      <c r="D37" s="38" t="s">
        <v>754</v>
      </c>
      <c r="E37" s="38" t="s">
        <v>102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2115</v>
      </c>
    </row>
    <row r="38" spans="1:15" ht="132.94999999999999" customHeight="1">
      <c r="A38" s="35" t="s">
        <v>755</v>
      </c>
      <c r="B38" s="35" t="s">
        <v>756</v>
      </c>
      <c r="C38" s="35" t="s">
        <v>757</v>
      </c>
      <c r="D38" s="38" t="s">
        <v>758</v>
      </c>
      <c r="E38" s="38" t="s">
        <v>102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2116</v>
      </c>
    </row>
    <row r="39" spans="1:15" ht="132.94999999999999" customHeight="1">
      <c r="A39" s="35" t="s">
        <v>759</v>
      </c>
      <c r="B39" s="35" t="s">
        <v>760</v>
      </c>
      <c r="C39" s="35" t="s">
        <v>761</v>
      </c>
      <c r="D39" s="38" t="s">
        <v>762</v>
      </c>
      <c r="E39" s="38" t="s">
        <v>102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2117</v>
      </c>
    </row>
    <row r="40" spans="1:15" ht="132.94999999999999" customHeight="1">
      <c r="A40" s="35" t="s">
        <v>763</v>
      </c>
      <c r="B40" s="35" t="s">
        <v>764</v>
      </c>
      <c r="C40" s="35" t="s">
        <v>765</v>
      </c>
      <c r="D40" s="38" t="s">
        <v>766</v>
      </c>
      <c r="E40" s="38" t="s">
        <v>102</v>
      </c>
      <c r="F40" s="35" t="s">
        <v>24</v>
      </c>
      <c r="G40" s="35"/>
      <c r="H40" s="35" t="s">
        <v>1957</v>
      </c>
      <c r="I40" s="35"/>
      <c r="J40" s="35"/>
      <c r="K40" s="35"/>
      <c r="L40" s="35"/>
      <c r="M40" s="35"/>
      <c r="N40" s="35"/>
      <c r="O40" s="35" t="s">
        <v>2118</v>
      </c>
    </row>
    <row r="41" spans="1:15" ht="27" customHeight="1">
      <c r="A41" s="121" t="s">
        <v>767</v>
      </c>
      <c r="B41" s="121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3"/>
    </row>
    <row r="42" spans="1:15" ht="132.94999999999999" customHeight="1">
      <c r="A42" s="35" t="s">
        <v>768</v>
      </c>
      <c r="B42" s="35" t="s">
        <v>769</v>
      </c>
      <c r="C42" s="35" t="s">
        <v>770</v>
      </c>
      <c r="D42" s="38" t="s">
        <v>771</v>
      </c>
      <c r="E42" s="38" t="s">
        <v>102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2119</v>
      </c>
    </row>
    <row r="43" spans="1:15" ht="132.94999999999999" customHeight="1">
      <c r="A43" s="35" t="s">
        <v>772</v>
      </c>
      <c r="B43" s="35" t="s">
        <v>773</v>
      </c>
      <c r="C43" s="35" t="s">
        <v>774</v>
      </c>
      <c r="D43" s="38" t="s">
        <v>775</v>
      </c>
      <c r="E43" s="38" t="s">
        <v>102</v>
      </c>
      <c r="F43" s="35" t="s">
        <v>24</v>
      </c>
      <c r="G43" s="35"/>
      <c r="H43" s="35" t="s">
        <v>1957</v>
      </c>
      <c r="I43" s="35"/>
      <c r="J43" s="35"/>
      <c r="K43" s="35"/>
      <c r="L43" s="35"/>
      <c r="M43" s="35"/>
      <c r="N43" s="35"/>
      <c r="O43" s="35" t="s">
        <v>2120</v>
      </c>
    </row>
    <row r="44" spans="1:15" ht="27" customHeight="1">
      <c r="A44" s="121" t="s">
        <v>776</v>
      </c>
      <c r="B44" s="121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3"/>
    </row>
    <row r="45" spans="1:15" ht="120" customHeight="1">
      <c r="A45" s="35" t="s">
        <v>777</v>
      </c>
      <c r="B45" s="35" t="s">
        <v>778</v>
      </c>
      <c r="C45" s="35" t="s">
        <v>779</v>
      </c>
      <c r="D45" s="38" t="s">
        <v>780</v>
      </c>
      <c r="E45" s="38" t="s">
        <v>102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2121</v>
      </c>
    </row>
    <row r="46" spans="1:15" ht="132.94999999999999" customHeight="1">
      <c r="A46" s="35" t="s">
        <v>781</v>
      </c>
      <c r="B46" s="35" t="s">
        <v>782</v>
      </c>
      <c r="C46" s="35" t="s">
        <v>783</v>
      </c>
      <c r="D46" s="38" t="s">
        <v>784</v>
      </c>
      <c r="E46" s="38" t="s">
        <v>102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2122</v>
      </c>
    </row>
    <row r="47" spans="1:15" ht="120" customHeight="1">
      <c r="A47" s="35" t="s">
        <v>785</v>
      </c>
      <c r="B47" s="35" t="s">
        <v>786</v>
      </c>
      <c r="C47" s="35" t="s">
        <v>787</v>
      </c>
      <c r="D47" s="38" t="s">
        <v>788</v>
      </c>
      <c r="E47" s="38" t="s">
        <v>102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2123</v>
      </c>
    </row>
    <row r="48" spans="1:15" ht="132.94999999999999" customHeight="1">
      <c r="A48" s="35" t="s">
        <v>789</v>
      </c>
      <c r="B48" s="35" t="s">
        <v>790</v>
      </c>
      <c r="C48" s="35" t="s">
        <v>791</v>
      </c>
      <c r="D48" s="38" t="s">
        <v>792</v>
      </c>
      <c r="E48" s="38" t="s">
        <v>102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2124</v>
      </c>
    </row>
    <row r="49" spans="1:15" ht="132.94999999999999" customHeight="1">
      <c r="A49" s="35" t="s">
        <v>793</v>
      </c>
      <c r="B49" s="35" t="s">
        <v>794</v>
      </c>
      <c r="C49" s="35" t="s">
        <v>795</v>
      </c>
      <c r="D49" s="38" t="s">
        <v>796</v>
      </c>
      <c r="E49" s="38" t="s">
        <v>102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2125</v>
      </c>
    </row>
  </sheetData>
  <mergeCells count="3">
    <mergeCell ref="B2:E2"/>
    <mergeCell ref="B3:E3"/>
    <mergeCell ref="B4:E4"/>
  </mergeCells>
  <dataValidations count="1">
    <dataValidation type="list" sqref="F12:F49 L12:L49 I12:I49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9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63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66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74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73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1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797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32.94999999999999" customHeight="1">
      <c r="A12" s="35" t="s">
        <v>798</v>
      </c>
      <c r="B12" s="35" t="s">
        <v>799</v>
      </c>
      <c r="C12" s="35" t="s">
        <v>800</v>
      </c>
      <c r="D12" s="38" t="s">
        <v>801</v>
      </c>
      <c r="E12" s="38" t="s">
        <v>802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2126</v>
      </c>
      <c r="P12" s="37"/>
      <c r="Q12" s="36"/>
      <c r="R12" s="37"/>
    </row>
    <row r="13" spans="1:18" ht="132.94999999999999" customHeight="1">
      <c r="A13" s="35" t="s">
        <v>803</v>
      </c>
      <c r="B13" s="35" t="s">
        <v>804</v>
      </c>
      <c r="C13" s="35" t="s">
        <v>805</v>
      </c>
      <c r="D13" s="38" t="s">
        <v>806</v>
      </c>
      <c r="E13" s="38" t="s">
        <v>802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2127</v>
      </c>
      <c r="P13" s="1"/>
      <c r="Q13" s="36"/>
      <c r="R13" s="1"/>
    </row>
    <row r="14" spans="1:18" ht="132.94999999999999" customHeight="1">
      <c r="A14" s="35" t="s">
        <v>807</v>
      </c>
      <c r="B14" s="35" t="s">
        <v>808</v>
      </c>
      <c r="C14" s="35" t="s">
        <v>809</v>
      </c>
      <c r="D14" s="38" t="s">
        <v>810</v>
      </c>
      <c r="E14" s="38" t="s">
        <v>802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2128</v>
      </c>
      <c r="P14" s="1"/>
      <c r="Q14" s="36"/>
      <c r="R14" s="1"/>
    </row>
    <row r="15" spans="1:18" ht="132.94999999999999" customHeight="1">
      <c r="A15" s="35" t="s">
        <v>811</v>
      </c>
      <c r="B15" s="35" t="s">
        <v>812</v>
      </c>
      <c r="C15" s="35" t="s">
        <v>813</v>
      </c>
      <c r="D15" s="38" t="s">
        <v>814</v>
      </c>
      <c r="E15" s="38" t="s">
        <v>802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2129</v>
      </c>
      <c r="P15" s="29"/>
      <c r="Q15" s="124"/>
      <c r="R15" s="29"/>
    </row>
    <row r="16" spans="1:18" ht="132.94999999999999" customHeight="1">
      <c r="A16" s="35" t="s">
        <v>815</v>
      </c>
      <c r="B16" s="35" t="s">
        <v>816</v>
      </c>
      <c r="C16" s="35" t="s">
        <v>817</v>
      </c>
      <c r="D16" s="38" t="s">
        <v>818</v>
      </c>
      <c r="E16" s="38" t="s">
        <v>802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2130</v>
      </c>
      <c r="P16" s="1"/>
      <c r="Q16" s="36"/>
      <c r="R16" s="1"/>
    </row>
    <row r="17" spans="1:18" ht="146.1" customHeight="1">
      <c r="A17" s="35" t="s">
        <v>819</v>
      </c>
      <c r="B17" s="35" t="s">
        <v>820</v>
      </c>
      <c r="C17" s="35" t="s">
        <v>821</v>
      </c>
      <c r="D17" s="38" t="s">
        <v>822</v>
      </c>
      <c r="E17" s="38" t="s">
        <v>802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2131</v>
      </c>
      <c r="P17" s="1"/>
      <c r="Q17" s="27"/>
      <c r="R17" s="1"/>
    </row>
    <row r="18" spans="1:18" ht="132.94999999999999" customHeight="1">
      <c r="A18" s="35" t="s">
        <v>823</v>
      </c>
      <c r="B18" s="35" t="s">
        <v>824</v>
      </c>
      <c r="C18" s="35" t="s">
        <v>825</v>
      </c>
      <c r="D18" s="38" t="s">
        <v>826</v>
      </c>
      <c r="E18" s="38" t="s">
        <v>802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2132</v>
      </c>
      <c r="P18" s="29"/>
      <c r="Q18" s="124"/>
      <c r="R18" s="29"/>
    </row>
    <row r="19" spans="1:18" ht="132.94999999999999" customHeight="1">
      <c r="A19" s="35" t="s">
        <v>827</v>
      </c>
      <c r="B19" s="35" t="s">
        <v>828</v>
      </c>
      <c r="C19" s="35" t="s">
        <v>829</v>
      </c>
      <c r="D19" s="38" t="s">
        <v>830</v>
      </c>
      <c r="E19" s="38" t="s">
        <v>802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2132</v>
      </c>
      <c r="P19" s="1"/>
      <c r="Q19" s="36"/>
      <c r="R19" s="1"/>
    </row>
    <row r="20" spans="1:18" ht="132.94999999999999" customHeight="1">
      <c r="A20" s="35" t="s">
        <v>831</v>
      </c>
      <c r="B20" s="35" t="s">
        <v>832</v>
      </c>
      <c r="C20" s="35" t="s">
        <v>833</v>
      </c>
      <c r="D20" s="38" t="s">
        <v>834</v>
      </c>
      <c r="E20" s="38" t="s">
        <v>802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2133</v>
      </c>
    </row>
    <row r="21" spans="1:18" ht="132.94999999999999" customHeight="1">
      <c r="A21" s="35" t="s">
        <v>835</v>
      </c>
      <c r="B21" s="35" t="s">
        <v>836</v>
      </c>
      <c r="C21" s="35" t="s">
        <v>837</v>
      </c>
      <c r="D21" s="38" t="s">
        <v>838</v>
      </c>
      <c r="E21" s="38" t="s">
        <v>802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2134</v>
      </c>
    </row>
    <row r="22" spans="1:18" ht="132.94999999999999" customHeight="1">
      <c r="A22" s="35" t="s">
        <v>839</v>
      </c>
      <c r="B22" s="35" t="s">
        <v>840</v>
      </c>
      <c r="C22" s="35" t="s">
        <v>841</v>
      </c>
      <c r="D22" s="38" t="s">
        <v>842</v>
      </c>
      <c r="E22" s="38" t="s">
        <v>802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2135</v>
      </c>
    </row>
    <row r="23" spans="1:18" ht="132.94999999999999" customHeight="1">
      <c r="A23" s="35" t="s">
        <v>843</v>
      </c>
      <c r="B23" s="35" t="s">
        <v>844</v>
      </c>
      <c r="C23" s="35" t="s">
        <v>845</v>
      </c>
      <c r="D23" s="38" t="s">
        <v>846</v>
      </c>
      <c r="E23" s="38" t="s">
        <v>802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2136</v>
      </c>
    </row>
    <row r="24" spans="1:18" ht="146.1" customHeight="1">
      <c r="A24" s="35" t="s">
        <v>847</v>
      </c>
      <c r="B24" s="35" t="s">
        <v>848</v>
      </c>
      <c r="C24" s="35" t="s">
        <v>849</v>
      </c>
      <c r="D24" s="38" t="s">
        <v>850</v>
      </c>
      <c r="E24" s="38" t="s">
        <v>802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2137</v>
      </c>
    </row>
    <row r="25" spans="1:18" ht="146.1" customHeight="1">
      <c r="A25" s="35" t="s">
        <v>851</v>
      </c>
      <c r="B25" s="35" t="s">
        <v>852</v>
      </c>
      <c r="C25" s="35" t="s">
        <v>853</v>
      </c>
      <c r="D25" s="38" t="s">
        <v>854</v>
      </c>
      <c r="E25" s="38" t="s">
        <v>802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2138</v>
      </c>
    </row>
    <row r="26" spans="1:18" ht="146.1" customHeight="1">
      <c r="A26" s="35" t="s">
        <v>855</v>
      </c>
      <c r="B26" s="35" t="s">
        <v>856</v>
      </c>
      <c r="C26" s="35" t="s">
        <v>857</v>
      </c>
      <c r="D26" s="38" t="s">
        <v>858</v>
      </c>
      <c r="E26" s="38" t="s">
        <v>802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2139</v>
      </c>
    </row>
    <row r="27" spans="1:18" ht="132.94999999999999" customHeight="1">
      <c r="A27" s="35" t="s">
        <v>859</v>
      </c>
      <c r="B27" s="35" t="s">
        <v>860</v>
      </c>
      <c r="C27" s="35" t="s">
        <v>861</v>
      </c>
      <c r="D27" s="38" t="s">
        <v>862</v>
      </c>
      <c r="E27" s="38" t="s">
        <v>802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2140</v>
      </c>
    </row>
    <row r="28" spans="1:18" ht="132.94999999999999" customHeight="1">
      <c r="A28" s="35" t="s">
        <v>863</v>
      </c>
      <c r="B28" s="35" t="s">
        <v>864</v>
      </c>
      <c r="C28" s="35" t="s">
        <v>865</v>
      </c>
      <c r="D28" s="38" t="s">
        <v>866</v>
      </c>
      <c r="E28" s="38" t="s">
        <v>802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2141</v>
      </c>
    </row>
    <row r="29" spans="1:18" ht="132.94999999999999" customHeight="1">
      <c r="A29" s="35" t="s">
        <v>867</v>
      </c>
      <c r="B29" s="35" t="s">
        <v>868</v>
      </c>
      <c r="C29" s="35" t="s">
        <v>869</v>
      </c>
      <c r="D29" s="38" t="s">
        <v>870</v>
      </c>
      <c r="E29" s="38" t="s">
        <v>802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2142</v>
      </c>
    </row>
    <row r="30" spans="1:18" ht="146.1" customHeight="1">
      <c r="A30" s="35" t="s">
        <v>871</v>
      </c>
      <c r="B30" s="35" t="s">
        <v>872</v>
      </c>
      <c r="C30" s="35" t="s">
        <v>873</v>
      </c>
      <c r="D30" s="38" t="s">
        <v>874</v>
      </c>
      <c r="E30" s="38" t="s">
        <v>802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2143</v>
      </c>
    </row>
    <row r="31" spans="1:18" ht="132.94999999999999" customHeight="1">
      <c r="A31" s="35" t="s">
        <v>875</v>
      </c>
      <c r="B31" s="35" t="s">
        <v>876</v>
      </c>
      <c r="C31" s="35" t="s">
        <v>877</v>
      </c>
      <c r="D31" s="38" t="s">
        <v>878</v>
      </c>
      <c r="E31" s="38" t="s">
        <v>802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2144</v>
      </c>
    </row>
    <row r="32" spans="1:18" ht="132.94999999999999" customHeight="1">
      <c r="A32" s="35" t="s">
        <v>879</v>
      </c>
      <c r="B32" s="35" t="s">
        <v>880</v>
      </c>
      <c r="C32" s="35" t="s">
        <v>881</v>
      </c>
      <c r="D32" s="38" t="s">
        <v>882</v>
      </c>
      <c r="E32" s="38" t="s">
        <v>802</v>
      </c>
      <c r="F32" s="35" t="s">
        <v>24</v>
      </c>
      <c r="G32" s="35"/>
      <c r="H32" s="35" t="s">
        <v>1957</v>
      </c>
      <c r="I32" s="35"/>
      <c r="J32" s="35"/>
      <c r="K32" s="35"/>
      <c r="L32" s="35"/>
      <c r="M32" s="35"/>
      <c r="N32" s="35"/>
      <c r="O32" s="35" t="s">
        <v>2145</v>
      </c>
    </row>
    <row r="33" spans="1:15" ht="132.94999999999999" customHeight="1">
      <c r="A33" s="35" t="s">
        <v>883</v>
      </c>
      <c r="B33" s="35" t="s">
        <v>884</v>
      </c>
      <c r="C33" s="35" t="s">
        <v>885</v>
      </c>
      <c r="D33" s="38" t="s">
        <v>886</v>
      </c>
      <c r="E33" s="38" t="s">
        <v>802</v>
      </c>
      <c r="F33" s="35" t="s">
        <v>24</v>
      </c>
      <c r="G33" s="35"/>
      <c r="H33" s="35" t="s">
        <v>1957</v>
      </c>
      <c r="I33" s="35"/>
      <c r="J33" s="35"/>
      <c r="K33" s="35"/>
      <c r="L33" s="35"/>
      <c r="M33" s="35"/>
      <c r="N33" s="35"/>
      <c r="O33" s="35" t="s">
        <v>2146</v>
      </c>
    </row>
    <row r="34" spans="1:15" ht="132.94999999999999" customHeight="1">
      <c r="A34" s="35" t="s">
        <v>887</v>
      </c>
      <c r="B34" s="35" t="s">
        <v>888</v>
      </c>
      <c r="C34" s="35" t="s">
        <v>889</v>
      </c>
      <c r="D34" s="38" t="s">
        <v>890</v>
      </c>
      <c r="E34" s="38" t="s">
        <v>802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2147</v>
      </c>
    </row>
    <row r="35" spans="1:15" ht="146.1" customHeight="1">
      <c r="A35" s="35" t="s">
        <v>891</v>
      </c>
      <c r="B35" s="35" t="s">
        <v>892</v>
      </c>
      <c r="C35" s="35" t="s">
        <v>893</v>
      </c>
      <c r="D35" s="38" t="s">
        <v>894</v>
      </c>
      <c r="E35" s="38" t="s">
        <v>802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2148</v>
      </c>
    </row>
    <row r="36" spans="1:15" ht="132.94999999999999" customHeight="1">
      <c r="A36" s="35" t="s">
        <v>895</v>
      </c>
      <c r="B36" s="35" t="s">
        <v>896</v>
      </c>
      <c r="C36" s="35" t="s">
        <v>897</v>
      </c>
      <c r="D36" s="38" t="s">
        <v>898</v>
      </c>
      <c r="E36" s="38" t="s">
        <v>802</v>
      </c>
      <c r="F36" s="35" t="s">
        <v>24</v>
      </c>
      <c r="G36" s="35"/>
      <c r="H36" s="35" t="s">
        <v>1957</v>
      </c>
      <c r="I36" s="35"/>
      <c r="J36" s="35"/>
      <c r="K36" s="35"/>
      <c r="L36" s="35"/>
      <c r="M36" s="35"/>
      <c r="N36" s="35"/>
      <c r="O36" s="35" t="s">
        <v>2149</v>
      </c>
    </row>
    <row r="37" spans="1:15" ht="132.94999999999999" customHeight="1">
      <c r="A37" s="35" t="s">
        <v>899</v>
      </c>
      <c r="B37" s="35" t="s">
        <v>900</v>
      </c>
      <c r="C37" s="35" t="s">
        <v>901</v>
      </c>
      <c r="D37" s="38" t="s">
        <v>902</v>
      </c>
      <c r="E37" s="38" t="s">
        <v>802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2150</v>
      </c>
    </row>
    <row r="38" spans="1:15" ht="132.94999999999999" customHeight="1">
      <c r="A38" s="35" t="s">
        <v>903</v>
      </c>
      <c r="B38" s="35" t="s">
        <v>904</v>
      </c>
      <c r="C38" s="35" t="s">
        <v>905</v>
      </c>
      <c r="D38" s="38" t="s">
        <v>906</v>
      </c>
      <c r="E38" s="38" t="s">
        <v>802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2151</v>
      </c>
    </row>
    <row r="39" spans="1:15" ht="146.1" customHeight="1">
      <c r="A39" s="35" t="s">
        <v>907</v>
      </c>
      <c r="B39" s="35" t="s">
        <v>908</v>
      </c>
      <c r="C39" s="35" t="s">
        <v>909</v>
      </c>
      <c r="D39" s="38" t="s">
        <v>910</v>
      </c>
      <c r="E39" s="38" t="s">
        <v>802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2152</v>
      </c>
    </row>
    <row r="40" spans="1:15" ht="132.94999999999999" customHeight="1">
      <c r="A40" s="35" t="s">
        <v>911</v>
      </c>
      <c r="B40" s="35" t="s">
        <v>912</v>
      </c>
      <c r="C40" s="35" t="s">
        <v>913</v>
      </c>
      <c r="D40" s="38" t="s">
        <v>914</v>
      </c>
      <c r="E40" s="38" t="s">
        <v>802</v>
      </c>
      <c r="F40" s="35" t="s">
        <v>24</v>
      </c>
      <c r="G40" s="35"/>
      <c r="H40" s="35" t="s">
        <v>1957</v>
      </c>
      <c r="I40" s="35"/>
      <c r="J40" s="35"/>
      <c r="K40" s="35"/>
      <c r="L40" s="35"/>
      <c r="M40" s="35"/>
      <c r="N40" s="35"/>
      <c r="O40" s="35" t="s">
        <v>2153</v>
      </c>
    </row>
    <row r="41" spans="1:15" ht="132.94999999999999" customHeight="1">
      <c r="A41" s="35" t="s">
        <v>915</v>
      </c>
      <c r="B41" s="35" t="s">
        <v>916</v>
      </c>
      <c r="C41" s="35" t="s">
        <v>917</v>
      </c>
      <c r="D41" s="38" t="s">
        <v>918</v>
      </c>
      <c r="E41" s="38" t="s">
        <v>802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2154</v>
      </c>
    </row>
    <row r="42" spans="1:15" ht="132.94999999999999" customHeight="1">
      <c r="A42" s="35" t="s">
        <v>919</v>
      </c>
      <c r="B42" s="35" t="s">
        <v>920</v>
      </c>
      <c r="C42" s="35" t="s">
        <v>921</v>
      </c>
      <c r="D42" s="38" t="s">
        <v>922</v>
      </c>
      <c r="E42" s="38" t="s">
        <v>802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2155</v>
      </c>
    </row>
    <row r="43" spans="1:15" ht="146.1" customHeight="1">
      <c r="A43" s="35" t="s">
        <v>923</v>
      </c>
      <c r="B43" s="35" t="s">
        <v>924</v>
      </c>
      <c r="C43" s="35" t="s">
        <v>925</v>
      </c>
      <c r="D43" s="38" t="s">
        <v>926</v>
      </c>
      <c r="E43" s="38" t="s">
        <v>802</v>
      </c>
      <c r="F43" s="35" t="s">
        <v>24</v>
      </c>
      <c r="G43" s="35"/>
      <c r="H43" s="35" t="s">
        <v>1957</v>
      </c>
      <c r="I43" s="35"/>
      <c r="J43" s="35"/>
      <c r="K43" s="35"/>
      <c r="L43" s="35"/>
      <c r="M43" s="35"/>
      <c r="N43" s="35"/>
      <c r="O43" s="35" t="s">
        <v>2156</v>
      </c>
    </row>
    <row r="44" spans="1:15" ht="146.1" customHeight="1">
      <c r="A44" s="35" t="s">
        <v>927</v>
      </c>
      <c r="B44" s="35" t="s">
        <v>928</v>
      </c>
      <c r="C44" s="35" t="s">
        <v>929</v>
      </c>
      <c r="D44" s="38" t="s">
        <v>930</v>
      </c>
      <c r="E44" s="38" t="s">
        <v>802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2157</v>
      </c>
    </row>
    <row r="45" spans="1:15" ht="132.94999999999999" customHeight="1">
      <c r="A45" s="35" t="s">
        <v>931</v>
      </c>
      <c r="B45" s="35" t="s">
        <v>932</v>
      </c>
      <c r="C45" s="35" t="s">
        <v>933</v>
      </c>
      <c r="D45" s="38" t="s">
        <v>934</v>
      </c>
      <c r="E45" s="38" t="s">
        <v>802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2158</v>
      </c>
    </row>
    <row r="46" spans="1:15" ht="146.1" customHeight="1">
      <c r="A46" s="35" t="s">
        <v>935</v>
      </c>
      <c r="B46" s="35" t="s">
        <v>936</v>
      </c>
      <c r="C46" s="35" t="s">
        <v>937</v>
      </c>
      <c r="D46" s="38" t="s">
        <v>938</v>
      </c>
      <c r="E46" s="38" t="s">
        <v>802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2159</v>
      </c>
    </row>
    <row r="47" spans="1:15" ht="132.94999999999999" customHeight="1">
      <c r="A47" s="35" t="s">
        <v>939</v>
      </c>
      <c r="B47" s="35" t="s">
        <v>940</v>
      </c>
      <c r="C47" s="35" t="s">
        <v>941</v>
      </c>
      <c r="D47" s="38" t="s">
        <v>942</v>
      </c>
      <c r="E47" s="38" t="s">
        <v>802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2160</v>
      </c>
    </row>
    <row r="48" spans="1:15" ht="146.1" customHeight="1">
      <c r="A48" s="35" t="s">
        <v>943</v>
      </c>
      <c r="B48" s="35" t="s">
        <v>944</v>
      </c>
      <c r="C48" s="35" t="s">
        <v>945</v>
      </c>
      <c r="D48" s="38" t="s">
        <v>946</v>
      </c>
      <c r="E48" s="38" t="s">
        <v>802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2161</v>
      </c>
    </row>
    <row r="49" spans="1:15" ht="132.94999999999999" customHeight="1">
      <c r="A49" s="35" t="s">
        <v>947</v>
      </c>
      <c r="B49" s="35" t="s">
        <v>948</v>
      </c>
      <c r="C49" s="35" t="s">
        <v>949</v>
      </c>
      <c r="D49" s="38" t="s">
        <v>950</v>
      </c>
      <c r="E49" s="38" t="s">
        <v>802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2162</v>
      </c>
    </row>
    <row r="50" spans="1:15" ht="132.94999999999999" customHeight="1">
      <c r="A50" s="35" t="s">
        <v>951</v>
      </c>
      <c r="B50" s="35" t="s">
        <v>952</v>
      </c>
      <c r="C50" s="35" t="s">
        <v>953</v>
      </c>
      <c r="D50" s="38" t="s">
        <v>954</v>
      </c>
      <c r="E50" s="38" t="s">
        <v>802</v>
      </c>
      <c r="F50" s="35" t="s">
        <v>24</v>
      </c>
      <c r="G50" s="35"/>
      <c r="H50" s="35" t="s">
        <v>1957</v>
      </c>
      <c r="I50" s="35"/>
      <c r="J50" s="35"/>
      <c r="K50" s="35"/>
      <c r="L50" s="35"/>
      <c r="M50" s="35"/>
      <c r="N50" s="35"/>
      <c r="O50" s="35" t="s">
        <v>2163</v>
      </c>
    </row>
    <row r="51" spans="1:15" ht="132.94999999999999" customHeight="1">
      <c r="A51" s="35" t="s">
        <v>955</v>
      </c>
      <c r="B51" s="35" t="s">
        <v>956</v>
      </c>
      <c r="C51" s="35" t="s">
        <v>957</v>
      </c>
      <c r="D51" s="38" t="s">
        <v>958</v>
      </c>
      <c r="E51" s="38" t="s">
        <v>802</v>
      </c>
      <c r="F51" s="35" t="s">
        <v>24</v>
      </c>
      <c r="G51" s="35"/>
      <c r="H51" s="35" t="s">
        <v>1957</v>
      </c>
      <c r="I51" s="35"/>
      <c r="J51" s="35"/>
      <c r="K51" s="35"/>
      <c r="L51" s="35"/>
      <c r="M51" s="35"/>
      <c r="N51" s="35"/>
      <c r="O51" s="35" t="s">
        <v>2164</v>
      </c>
    </row>
    <row r="52" spans="1:15" ht="132.94999999999999" customHeight="1">
      <c r="A52" s="35" t="s">
        <v>959</v>
      </c>
      <c r="B52" s="35" t="s">
        <v>960</v>
      </c>
      <c r="C52" s="35" t="s">
        <v>961</v>
      </c>
      <c r="D52" s="38" t="s">
        <v>962</v>
      </c>
      <c r="E52" s="38" t="s">
        <v>802</v>
      </c>
      <c r="F52" s="35" t="s">
        <v>24</v>
      </c>
      <c r="G52" s="35"/>
      <c r="H52" s="35" t="s">
        <v>1957</v>
      </c>
      <c r="I52" s="35"/>
      <c r="J52" s="35"/>
      <c r="K52" s="35"/>
      <c r="L52" s="35"/>
      <c r="M52" s="35"/>
      <c r="N52" s="35"/>
      <c r="O52" s="35" t="s">
        <v>2165</v>
      </c>
    </row>
    <row r="53" spans="1:15" ht="132.94999999999999" customHeight="1">
      <c r="A53" s="35" t="s">
        <v>963</v>
      </c>
      <c r="B53" s="35" t="s">
        <v>964</v>
      </c>
      <c r="C53" s="35" t="s">
        <v>965</v>
      </c>
      <c r="D53" s="38" t="s">
        <v>966</v>
      </c>
      <c r="E53" s="38" t="s">
        <v>802</v>
      </c>
      <c r="F53" s="35" t="s">
        <v>24</v>
      </c>
      <c r="G53" s="35"/>
      <c r="H53" s="35" t="s">
        <v>1957</v>
      </c>
      <c r="I53" s="35"/>
      <c r="J53" s="35"/>
      <c r="K53" s="35"/>
      <c r="L53" s="35"/>
      <c r="M53" s="35"/>
      <c r="N53" s="35"/>
      <c r="O53" s="35" t="s">
        <v>2166</v>
      </c>
    </row>
    <row r="54" spans="1:15" ht="132.94999999999999" customHeight="1">
      <c r="A54" s="35" t="s">
        <v>967</v>
      </c>
      <c r="B54" s="35" t="s">
        <v>968</v>
      </c>
      <c r="C54" s="35" t="s">
        <v>969</v>
      </c>
      <c r="D54" s="38" t="s">
        <v>970</v>
      </c>
      <c r="E54" s="38" t="s">
        <v>802</v>
      </c>
      <c r="F54" s="35" t="s">
        <v>24</v>
      </c>
      <c r="G54" s="35"/>
      <c r="H54" s="35" t="s">
        <v>1957</v>
      </c>
      <c r="I54" s="35"/>
      <c r="J54" s="35"/>
      <c r="K54" s="35"/>
      <c r="L54" s="35"/>
      <c r="M54" s="35"/>
      <c r="N54" s="35"/>
      <c r="O54" s="35" t="s">
        <v>2167</v>
      </c>
    </row>
    <row r="55" spans="1:15" ht="132.94999999999999" customHeight="1">
      <c r="A55" s="35" t="s">
        <v>971</v>
      </c>
      <c r="B55" s="35" t="s">
        <v>972</v>
      </c>
      <c r="C55" s="35" t="s">
        <v>973</v>
      </c>
      <c r="D55" s="38" t="s">
        <v>974</v>
      </c>
      <c r="E55" s="38" t="s">
        <v>802</v>
      </c>
      <c r="F55" s="35" t="s">
        <v>24</v>
      </c>
      <c r="G55" s="35"/>
      <c r="H55" s="35" t="s">
        <v>1957</v>
      </c>
      <c r="I55" s="35"/>
      <c r="J55" s="35"/>
      <c r="K55" s="35"/>
      <c r="L55" s="35"/>
      <c r="M55" s="35"/>
      <c r="N55" s="35"/>
      <c r="O55" s="35" t="s">
        <v>2168</v>
      </c>
    </row>
    <row r="56" spans="1:15" ht="132.94999999999999" customHeight="1">
      <c r="A56" s="35" t="s">
        <v>975</v>
      </c>
      <c r="B56" s="35" t="s">
        <v>976</v>
      </c>
      <c r="C56" s="35" t="s">
        <v>977</v>
      </c>
      <c r="D56" s="38" t="s">
        <v>978</v>
      </c>
      <c r="E56" s="38" t="s">
        <v>802</v>
      </c>
      <c r="F56" s="35" t="s">
        <v>24</v>
      </c>
      <c r="G56" s="35"/>
      <c r="H56" s="35" t="s">
        <v>1957</v>
      </c>
      <c r="I56" s="35"/>
      <c r="J56" s="35"/>
      <c r="K56" s="35"/>
      <c r="L56" s="35"/>
      <c r="M56" s="35"/>
      <c r="N56" s="35"/>
      <c r="O56" s="35" t="s">
        <v>2169</v>
      </c>
    </row>
    <row r="57" spans="1:15" ht="27" customHeight="1">
      <c r="A57" s="121" t="s">
        <v>979</v>
      </c>
      <c r="B57" s="121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3"/>
    </row>
    <row r="58" spans="1:15" ht="132.94999999999999" customHeight="1">
      <c r="A58" s="35" t="s">
        <v>980</v>
      </c>
      <c r="B58" s="35" t="s">
        <v>981</v>
      </c>
      <c r="C58" s="35" t="s">
        <v>982</v>
      </c>
      <c r="D58" s="38" t="s">
        <v>983</v>
      </c>
      <c r="E58" s="38" t="s">
        <v>802</v>
      </c>
      <c r="F58" s="35" t="s">
        <v>24</v>
      </c>
      <c r="G58" s="35"/>
      <c r="H58" s="35" t="s">
        <v>1957</v>
      </c>
      <c r="I58" s="35"/>
      <c r="J58" s="35"/>
      <c r="K58" s="35"/>
      <c r="L58" s="35"/>
      <c r="M58" s="35"/>
      <c r="N58" s="35"/>
      <c r="O58" s="35" t="s">
        <v>2170</v>
      </c>
    </row>
    <row r="59" spans="1:15" ht="120" customHeight="1">
      <c r="A59" s="35" t="s">
        <v>984</v>
      </c>
      <c r="B59" s="35" t="s">
        <v>985</v>
      </c>
      <c r="C59" s="35" t="s">
        <v>986</v>
      </c>
      <c r="D59" s="38" t="s">
        <v>987</v>
      </c>
      <c r="E59" s="38" t="s">
        <v>802</v>
      </c>
      <c r="F59" s="35" t="s">
        <v>24</v>
      </c>
      <c r="G59" s="35"/>
      <c r="H59" s="35" t="s">
        <v>1957</v>
      </c>
      <c r="I59" s="35"/>
      <c r="J59" s="35"/>
      <c r="K59" s="35"/>
      <c r="L59" s="35"/>
      <c r="M59" s="35"/>
      <c r="N59" s="35"/>
      <c r="O59" s="35" t="s">
        <v>2171</v>
      </c>
    </row>
    <row r="60" spans="1:15" ht="120" customHeight="1">
      <c r="A60" s="35" t="s">
        <v>988</v>
      </c>
      <c r="B60" s="35" t="s">
        <v>989</v>
      </c>
      <c r="C60" s="35" t="s">
        <v>990</v>
      </c>
      <c r="D60" s="38" t="s">
        <v>991</v>
      </c>
      <c r="E60" s="38" t="s">
        <v>802</v>
      </c>
      <c r="F60" s="35" t="s">
        <v>24</v>
      </c>
      <c r="G60" s="35"/>
      <c r="H60" s="35" t="s">
        <v>1957</v>
      </c>
      <c r="I60" s="35"/>
      <c r="J60" s="35"/>
      <c r="K60" s="35"/>
      <c r="L60" s="35"/>
      <c r="M60" s="35"/>
      <c r="N60" s="35"/>
      <c r="O60" s="35" t="s">
        <v>2172</v>
      </c>
    </row>
    <row r="61" spans="1:15" ht="120" customHeight="1">
      <c r="A61" s="35" t="s">
        <v>992</v>
      </c>
      <c r="B61" s="35" t="s">
        <v>993</v>
      </c>
      <c r="C61" s="35" t="s">
        <v>994</v>
      </c>
      <c r="D61" s="38" t="s">
        <v>995</v>
      </c>
      <c r="E61" s="38" t="s">
        <v>802</v>
      </c>
      <c r="F61" s="35" t="s">
        <v>24</v>
      </c>
      <c r="G61" s="35"/>
      <c r="H61" s="35" t="s">
        <v>1957</v>
      </c>
      <c r="I61" s="35"/>
      <c r="J61" s="35"/>
      <c r="K61" s="35"/>
      <c r="L61" s="35"/>
      <c r="M61" s="35"/>
      <c r="N61" s="35"/>
      <c r="O61" s="35" t="s">
        <v>2173</v>
      </c>
    </row>
    <row r="62" spans="1:15" ht="120" customHeight="1">
      <c r="A62" s="35" t="s">
        <v>996</v>
      </c>
      <c r="B62" s="35" t="s">
        <v>997</v>
      </c>
      <c r="C62" s="35" t="s">
        <v>998</v>
      </c>
      <c r="D62" s="38" t="s">
        <v>999</v>
      </c>
      <c r="E62" s="38" t="s">
        <v>802</v>
      </c>
      <c r="F62" s="35" t="s">
        <v>24</v>
      </c>
      <c r="G62" s="35"/>
      <c r="H62" s="35" t="s">
        <v>1957</v>
      </c>
      <c r="I62" s="35"/>
      <c r="J62" s="35"/>
      <c r="K62" s="35"/>
      <c r="L62" s="35"/>
      <c r="M62" s="35"/>
      <c r="N62" s="35"/>
      <c r="O62" s="35" t="s">
        <v>2174</v>
      </c>
    </row>
    <row r="63" spans="1:15" ht="120" customHeight="1">
      <c r="A63" s="35" t="s">
        <v>1000</v>
      </c>
      <c r="B63" s="35" t="s">
        <v>1001</v>
      </c>
      <c r="C63" s="35" t="s">
        <v>1002</v>
      </c>
      <c r="D63" s="38" t="s">
        <v>1003</v>
      </c>
      <c r="E63" s="38" t="s">
        <v>802</v>
      </c>
      <c r="F63" s="35" t="s">
        <v>24</v>
      </c>
      <c r="G63" s="35"/>
      <c r="H63" s="35" t="s">
        <v>1957</v>
      </c>
      <c r="I63" s="35"/>
      <c r="J63" s="35"/>
      <c r="K63" s="35"/>
      <c r="L63" s="35"/>
      <c r="M63" s="35"/>
      <c r="N63" s="35"/>
      <c r="O63" s="35" t="s">
        <v>2175</v>
      </c>
    </row>
    <row r="64" spans="1:15" ht="132.94999999999999" customHeight="1">
      <c r="A64" s="35" t="s">
        <v>1004</v>
      </c>
      <c r="B64" s="35" t="s">
        <v>1005</v>
      </c>
      <c r="C64" s="35" t="s">
        <v>1006</v>
      </c>
      <c r="D64" s="38" t="s">
        <v>1007</v>
      </c>
      <c r="E64" s="38" t="s">
        <v>802</v>
      </c>
      <c r="F64" s="35" t="s">
        <v>24</v>
      </c>
      <c r="G64" s="35"/>
      <c r="H64" s="35" t="s">
        <v>1957</v>
      </c>
      <c r="I64" s="35"/>
      <c r="J64" s="35"/>
      <c r="K64" s="35"/>
      <c r="L64" s="35"/>
      <c r="M64" s="35"/>
      <c r="N64" s="35"/>
      <c r="O64" s="35" t="s">
        <v>2176</v>
      </c>
    </row>
    <row r="65" spans="1:15" ht="132.94999999999999" customHeight="1">
      <c r="A65" s="35" t="s">
        <v>1008</v>
      </c>
      <c r="B65" s="35" t="s">
        <v>1009</v>
      </c>
      <c r="C65" s="35" t="s">
        <v>1010</v>
      </c>
      <c r="D65" s="38" t="s">
        <v>1011</v>
      </c>
      <c r="E65" s="38" t="s">
        <v>802</v>
      </c>
      <c r="F65" s="35" t="s">
        <v>24</v>
      </c>
      <c r="G65" s="35"/>
      <c r="H65" s="35" t="s">
        <v>1957</v>
      </c>
      <c r="I65" s="35"/>
      <c r="J65" s="35"/>
      <c r="K65" s="35"/>
      <c r="L65" s="35"/>
      <c r="M65" s="35"/>
      <c r="N65" s="35"/>
      <c r="O65" s="35" t="s">
        <v>2177</v>
      </c>
    </row>
    <row r="66" spans="1:15" ht="132.94999999999999" customHeight="1">
      <c r="A66" s="35" t="s">
        <v>1012</v>
      </c>
      <c r="B66" s="35" t="s">
        <v>1013</v>
      </c>
      <c r="C66" s="35" t="s">
        <v>1014</v>
      </c>
      <c r="D66" s="38" t="s">
        <v>1015</v>
      </c>
      <c r="E66" s="38" t="s">
        <v>802</v>
      </c>
      <c r="F66" s="35" t="s">
        <v>24</v>
      </c>
      <c r="G66" s="35"/>
      <c r="H66" s="35" t="s">
        <v>1957</v>
      </c>
      <c r="I66" s="35"/>
      <c r="J66" s="35"/>
      <c r="K66" s="35"/>
      <c r="L66" s="35"/>
      <c r="M66" s="35"/>
      <c r="N66" s="35"/>
      <c r="O66" s="35" t="s">
        <v>2178</v>
      </c>
    </row>
    <row r="67" spans="1:15" ht="132.94999999999999" customHeight="1">
      <c r="A67" s="35" t="s">
        <v>1016</v>
      </c>
      <c r="B67" s="35" t="s">
        <v>1017</v>
      </c>
      <c r="C67" s="35" t="s">
        <v>1018</v>
      </c>
      <c r="D67" s="38" t="s">
        <v>1019</v>
      </c>
      <c r="E67" s="38" t="s">
        <v>802</v>
      </c>
      <c r="F67" s="35" t="s">
        <v>24</v>
      </c>
      <c r="G67" s="35"/>
      <c r="H67" s="35" t="s">
        <v>1957</v>
      </c>
      <c r="I67" s="35"/>
      <c r="J67" s="35"/>
      <c r="K67" s="35"/>
      <c r="L67" s="35"/>
      <c r="M67" s="35"/>
      <c r="N67" s="35"/>
      <c r="O67" s="35" t="s">
        <v>2179</v>
      </c>
    </row>
    <row r="68" spans="1:15" ht="120" customHeight="1">
      <c r="A68" s="35" t="s">
        <v>1020</v>
      </c>
      <c r="B68" s="35" t="s">
        <v>1021</v>
      </c>
      <c r="C68" s="35" t="s">
        <v>1022</v>
      </c>
      <c r="D68" s="38" t="s">
        <v>1023</v>
      </c>
      <c r="E68" s="38" t="s">
        <v>802</v>
      </c>
      <c r="F68" s="35" t="s">
        <v>24</v>
      </c>
      <c r="G68" s="35"/>
      <c r="H68" s="35" t="s">
        <v>1957</v>
      </c>
      <c r="I68" s="35"/>
      <c r="J68" s="35"/>
      <c r="K68" s="35"/>
      <c r="L68" s="35"/>
      <c r="M68" s="35"/>
      <c r="N68" s="35"/>
      <c r="O68" s="35" t="s">
        <v>2180</v>
      </c>
    </row>
    <row r="69" spans="1:15" ht="120" customHeight="1">
      <c r="A69" s="35" t="s">
        <v>1024</v>
      </c>
      <c r="B69" s="35" t="s">
        <v>1025</v>
      </c>
      <c r="C69" s="35" t="s">
        <v>1026</v>
      </c>
      <c r="D69" s="38" t="s">
        <v>1027</v>
      </c>
      <c r="E69" s="38" t="s">
        <v>802</v>
      </c>
      <c r="F69" s="35" t="s">
        <v>24</v>
      </c>
      <c r="G69" s="35"/>
      <c r="H69" s="35" t="s">
        <v>1957</v>
      </c>
      <c r="I69" s="35"/>
      <c r="J69" s="35"/>
      <c r="K69" s="35"/>
      <c r="L69" s="35"/>
      <c r="M69" s="35"/>
      <c r="N69" s="35"/>
      <c r="O69" s="35" t="s">
        <v>2181</v>
      </c>
    </row>
    <row r="70" spans="1:15" ht="132.94999999999999" customHeight="1">
      <c r="A70" s="35" t="s">
        <v>1028</v>
      </c>
      <c r="B70" s="35" t="s">
        <v>1029</v>
      </c>
      <c r="C70" s="35" t="s">
        <v>1030</v>
      </c>
      <c r="D70" s="38" t="s">
        <v>1031</v>
      </c>
      <c r="E70" s="38" t="s">
        <v>802</v>
      </c>
      <c r="F70" s="35" t="s">
        <v>24</v>
      </c>
      <c r="G70" s="35"/>
      <c r="H70" s="35" t="s">
        <v>1957</v>
      </c>
      <c r="I70" s="35"/>
      <c r="J70" s="35"/>
      <c r="K70" s="35"/>
      <c r="L70" s="35"/>
      <c r="M70" s="35"/>
      <c r="N70" s="35"/>
      <c r="O70" s="35" t="s">
        <v>2182</v>
      </c>
    </row>
    <row r="71" spans="1:15" ht="132.94999999999999" customHeight="1">
      <c r="A71" s="35" t="s">
        <v>1032</v>
      </c>
      <c r="B71" s="35" t="s">
        <v>1033</v>
      </c>
      <c r="C71" s="35" t="s">
        <v>1034</v>
      </c>
      <c r="D71" s="38" t="s">
        <v>1035</v>
      </c>
      <c r="E71" s="38" t="s">
        <v>802</v>
      </c>
      <c r="F71" s="35" t="s">
        <v>24</v>
      </c>
      <c r="G71" s="35"/>
      <c r="H71" s="35" t="s">
        <v>1957</v>
      </c>
      <c r="I71" s="35"/>
      <c r="J71" s="35"/>
      <c r="K71" s="35"/>
      <c r="L71" s="35"/>
      <c r="M71" s="35"/>
      <c r="N71" s="35"/>
      <c r="O71" s="35" t="s">
        <v>2183</v>
      </c>
    </row>
    <row r="72" spans="1:15" ht="27" customHeight="1">
      <c r="A72" s="121" t="s">
        <v>1036</v>
      </c>
      <c r="B72" s="121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3"/>
    </row>
    <row r="73" spans="1:15" ht="132.94999999999999" customHeight="1">
      <c r="A73" s="35" t="s">
        <v>1037</v>
      </c>
      <c r="B73" s="35" t="s">
        <v>1038</v>
      </c>
      <c r="C73" s="35" t="s">
        <v>1039</v>
      </c>
      <c r="D73" s="38" t="s">
        <v>1040</v>
      </c>
      <c r="E73" s="38" t="s">
        <v>1041</v>
      </c>
      <c r="F73" s="35" t="s">
        <v>92</v>
      </c>
      <c r="G73" s="35"/>
      <c r="H73" s="35"/>
      <c r="I73" s="35"/>
      <c r="J73" s="35"/>
      <c r="K73" s="35"/>
      <c r="L73" s="35"/>
      <c r="M73" s="35"/>
      <c r="N73" s="35"/>
      <c r="O73" s="35" t="s">
        <v>2184</v>
      </c>
    </row>
    <row r="74" spans="1:15" ht="27" customHeight="1">
      <c r="A74" s="121" t="s">
        <v>1042</v>
      </c>
      <c r="B74" s="121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3"/>
    </row>
    <row r="75" spans="1:15" ht="132.94999999999999" customHeight="1">
      <c r="A75" s="35" t="s">
        <v>1043</v>
      </c>
      <c r="B75" s="35" t="s">
        <v>1044</v>
      </c>
      <c r="C75" s="35" t="s">
        <v>1045</v>
      </c>
      <c r="D75" s="38" t="s">
        <v>1046</v>
      </c>
      <c r="E75" s="38" t="s">
        <v>802</v>
      </c>
      <c r="F75" s="35" t="s">
        <v>24</v>
      </c>
      <c r="G75" s="35"/>
      <c r="H75" s="35" t="s">
        <v>1957</v>
      </c>
      <c r="I75" s="35"/>
      <c r="J75" s="35"/>
      <c r="K75" s="35"/>
      <c r="L75" s="35"/>
      <c r="M75" s="35"/>
      <c r="N75" s="35"/>
      <c r="O75" s="35" t="s">
        <v>2185</v>
      </c>
    </row>
    <row r="76" spans="1:15" ht="132.94999999999999" customHeight="1">
      <c r="A76" s="35" t="s">
        <v>1047</v>
      </c>
      <c r="B76" s="35" t="s">
        <v>1048</v>
      </c>
      <c r="C76" s="35" t="s">
        <v>1049</v>
      </c>
      <c r="D76" s="38" t="s">
        <v>1050</v>
      </c>
      <c r="E76" s="38" t="s">
        <v>802</v>
      </c>
      <c r="F76" s="35" t="s">
        <v>24</v>
      </c>
      <c r="G76" s="35"/>
      <c r="H76" s="35" t="s">
        <v>1957</v>
      </c>
      <c r="I76" s="35"/>
      <c r="J76" s="35"/>
      <c r="K76" s="35"/>
      <c r="L76" s="35"/>
      <c r="M76" s="35"/>
      <c r="N76" s="35"/>
      <c r="O76" s="35" t="s">
        <v>2186</v>
      </c>
    </row>
    <row r="77" spans="1:15" ht="120" customHeight="1">
      <c r="A77" s="35" t="s">
        <v>1051</v>
      </c>
      <c r="B77" s="35" t="s">
        <v>1052</v>
      </c>
      <c r="C77" s="35" t="s">
        <v>1053</v>
      </c>
      <c r="D77" s="38" t="s">
        <v>1054</v>
      </c>
      <c r="E77" s="38" t="s">
        <v>802</v>
      </c>
      <c r="F77" s="35" t="s">
        <v>24</v>
      </c>
      <c r="G77" s="35"/>
      <c r="H77" s="35" t="s">
        <v>1957</v>
      </c>
      <c r="I77" s="35"/>
      <c r="J77" s="35"/>
      <c r="K77" s="35"/>
      <c r="L77" s="35"/>
      <c r="M77" s="35"/>
      <c r="N77" s="35"/>
      <c r="O77" s="35" t="s">
        <v>2187</v>
      </c>
    </row>
    <row r="78" spans="1:15" ht="132.94999999999999" customHeight="1">
      <c r="A78" s="35" t="s">
        <v>1055</v>
      </c>
      <c r="B78" s="35" t="s">
        <v>1056</v>
      </c>
      <c r="C78" s="35" t="s">
        <v>1057</v>
      </c>
      <c r="D78" s="38" t="s">
        <v>1058</v>
      </c>
      <c r="E78" s="38" t="s">
        <v>802</v>
      </c>
      <c r="F78" s="35" t="s">
        <v>24</v>
      </c>
      <c r="G78" s="35"/>
      <c r="H78" s="35" t="s">
        <v>1957</v>
      </c>
      <c r="I78" s="35"/>
      <c r="J78" s="35"/>
      <c r="K78" s="35"/>
      <c r="L78" s="35"/>
      <c r="M78" s="35"/>
      <c r="N78" s="35"/>
      <c r="O78" s="35" t="s">
        <v>2188</v>
      </c>
    </row>
    <row r="79" spans="1:15" ht="132.94999999999999" customHeight="1">
      <c r="A79" s="35" t="s">
        <v>1059</v>
      </c>
      <c r="B79" s="35" t="s">
        <v>1060</v>
      </c>
      <c r="C79" s="35" t="s">
        <v>1061</v>
      </c>
      <c r="D79" s="38" t="s">
        <v>1062</v>
      </c>
      <c r="E79" s="38" t="s">
        <v>802</v>
      </c>
      <c r="F79" s="35" t="s">
        <v>24</v>
      </c>
      <c r="G79" s="35"/>
      <c r="H79" s="35" t="s">
        <v>1957</v>
      </c>
      <c r="I79" s="35"/>
      <c r="J79" s="35"/>
      <c r="K79" s="35"/>
      <c r="L79" s="35"/>
      <c r="M79" s="35"/>
      <c r="N79" s="35"/>
      <c r="O79" s="35" t="s">
        <v>2189</v>
      </c>
    </row>
    <row r="80" spans="1:15" ht="132.94999999999999" customHeight="1">
      <c r="A80" s="35" t="s">
        <v>1063</v>
      </c>
      <c r="B80" s="35" t="s">
        <v>1064</v>
      </c>
      <c r="C80" s="35" t="s">
        <v>1065</v>
      </c>
      <c r="D80" s="38" t="s">
        <v>1066</v>
      </c>
      <c r="E80" s="38" t="s">
        <v>802</v>
      </c>
      <c r="F80" s="35" t="s">
        <v>24</v>
      </c>
      <c r="G80" s="35"/>
      <c r="H80" s="35" t="s">
        <v>1957</v>
      </c>
      <c r="I80" s="35"/>
      <c r="J80" s="35"/>
      <c r="K80" s="35"/>
      <c r="L80" s="35"/>
      <c r="M80" s="35"/>
      <c r="N80" s="35"/>
      <c r="O80" s="35" t="s">
        <v>2190</v>
      </c>
    </row>
    <row r="81" spans="1:15" ht="132.94999999999999" customHeight="1">
      <c r="A81" s="35" t="s">
        <v>1067</v>
      </c>
      <c r="B81" s="35" t="s">
        <v>1068</v>
      </c>
      <c r="C81" s="35" t="s">
        <v>1069</v>
      </c>
      <c r="D81" s="38" t="s">
        <v>1070</v>
      </c>
      <c r="E81" s="38" t="s">
        <v>802</v>
      </c>
      <c r="F81" s="35" t="s">
        <v>24</v>
      </c>
      <c r="G81" s="35"/>
      <c r="H81" s="35" t="s">
        <v>1957</v>
      </c>
      <c r="I81" s="35"/>
      <c r="J81" s="35"/>
      <c r="K81" s="35"/>
      <c r="L81" s="35"/>
      <c r="M81" s="35"/>
      <c r="N81" s="35"/>
      <c r="O81" s="35" t="s">
        <v>2191</v>
      </c>
    </row>
    <row r="82" spans="1:15" ht="132.94999999999999" customHeight="1">
      <c r="A82" s="35" t="s">
        <v>1071</v>
      </c>
      <c r="B82" s="35" t="s">
        <v>1072</v>
      </c>
      <c r="C82" s="35" t="s">
        <v>1073</v>
      </c>
      <c r="D82" s="38" t="s">
        <v>1074</v>
      </c>
      <c r="E82" s="38" t="s">
        <v>802</v>
      </c>
      <c r="F82" s="35" t="s">
        <v>24</v>
      </c>
      <c r="G82" s="35"/>
      <c r="H82" s="35" t="s">
        <v>1957</v>
      </c>
      <c r="I82" s="35"/>
      <c r="J82" s="35"/>
      <c r="K82" s="35"/>
      <c r="L82" s="35"/>
      <c r="M82" s="35"/>
      <c r="N82" s="35"/>
      <c r="O82" s="35" t="s">
        <v>2192</v>
      </c>
    </row>
    <row r="83" spans="1:15" ht="27" customHeight="1">
      <c r="A83" s="121" t="s">
        <v>1075</v>
      </c>
      <c r="B83" s="121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spans="1:15" ht="132.94999999999999" customHeight="1">
      <c r="A84" s="35" t="s">
        <v>1076</v>
      </c>
      <c r="B84" s="35" t="s">
        <v>1077</v>
      </c>
      <c r="C84" s="35" t="s">
        <v>1078</v>
      </c>
      <c r="D84" s="38" t="s">
        <v>1079</v>
      </c>
      <c r="E84" s="38" t="s">
        <v>802</v>
      </c>
      <c r="F84" s="35" t="s">
        <v>24</v>
      </c>
      <c r="G84" s="35"/>
      <c r="H84" s="35" t="s">
        <v>1957</v>
      </c>
      <c r="I84" s="35"/>
      <c r="J84" s="35"/>
      <c r="K84" s="35"/>
      <c r="L84" s="35"/>
      <c r="M84" s="35"/>
      <c r="N84" s="35"/>
      <c r="O84" s="35" t="s">
        <v>2193</v>
      </c>
    </row>
    <row r="85" spans="1:15" ht="146.1" customHeight="1">
      <c r="A85" s="35" t="s">
        <v>1080</v>
      </c>
      <c r="B85" s="35" t="s">
        <v>1081</v>
      </c>
      <c r="C85" s="35" t="s">
        <v>1082</v>
      </c>
      <c r="D85" s="38" t="s">
        <v>1083</v>
      </c>
      <c r="E85" s="38" t="s">
        <v>802</v>
      </c>
      <c r="F85" s="35" t="s">
        <v>24</v>
      </c>
      <c r="G85" s="35"/>
      <c r="H85" s="35" t="s">
        <v>1957</v>
      </c>
      <c r="I85" s="35"/>
      <c r="J85" s="35"/>
      <c r="K85" s="35"/>
      <c r="L85" s="35"/>
      <c r="M85" s="35"/>
      <c r="N85" s="35"/>
      <c r="O85" s="35" t="s">
        <v>2194</v>
      </c>
    </row>
    <row r="86" spans="1:15" ht="132.94999999999999" customHeight="1">
      <c r="A86" s="35" t="s">
        <v>1084</v>
      </c>
      <c r="B86" s="35" t="s">
        <v>1085</v>
      </c>
      <c r="C86" s="35" t="s">
        <v>1086</v>
      </c>
      <c r="D86" s="38" t="s">
        <v>1087</v>
      </c>
      <c r="E86" s="38" t="s">
        <v>802</v>
      </c>
      <c r="F86" s="35" t="s">
        <v>24</v>
      </c>
      <c r="G86" s="35"/>
      <c r="H86" s="35" t="s">
        <v>1957</v>
      </c>
      <c r="I86" s="35"/>
      <c r="J86" s="35"/>
      <c r="K86" s="35"/>
      <c r="L86" s="35"/>
      <c r="M86" s="35"/>
      <c r="N86" s="35"/>
      <c r="O86" s="35" t="s">
        <v>2195</v>
      </c>
    </row>
    <row r="87" spans="1:15" ht="132.94999999999999" customHeight="1">
      <c r="A87" s="35" t="s">
        <v>1088</v>
      </c>
      <c r="B87" s="35" t="s">
        <v>1089</v>
      </c>
      <c r="C87" s="35" t="s">
        <v>1090</v>
      </c>
      <c r="D87" s="38" t="s">
        <v>1091</v>
      </c>
      <c r="E87" s="38" t="s">
        <v>802</v>
      </c>
      <c r="F87" s="35" t="s">
        <v>24</v>
      </c>
      <c r="G87" s="35"/>
      <c r="H87" s="35" t="s">
        <v>1957</v>
      </c>
      <c r="I87" s="35"/>
      <c r="J87" s="35"/>
      <c r="K87" s="35"/>
      <c r="L87" s="35"/>
      <c r="M87" s="35"/>
      <c r="N87" s="35"/>
      <c r="O87" s="35" t="s">
        <v>2196</v>
      </c>
    </row>
    <row r="88" spans="1:15" ht="132.94999999999999" customHeight="1">
      <c r="A88" s="35" t="s">
        <v>1092</v>
      </c>
      <c r="B88" s="35" t="s">
        <v>1093</v>
      </c>
      <c r="C88" s="35" t="s">
        <v>1094</v>
      </c>
      <c r="D88" s="38" t="s">
        <v>1095</v>
      </c>
      <c r="E88" s="38" t="s">
        <v>802</v>
      </c>
      <c r="F88" s="35" t="s">
        <v>24</v>
      </c>
      <c r="G88" s="35"/>
      <c r="H88" s="35" t="s">
        <v>1957</v>
      </c>
      <c r="I88" s="35"/>
      <c r="J88" s="35"/>
      <c r="K88" s="35"/>
      <c r="L88" s="35"/>
      <c r="M88" s="35"/>
      <c r="N88" s="35"/>
      <c r="O88" s="35" t="s">
        <v>2197</v>
      </c>
    </row>
    <row r="89" spans="1:15" ht="132.94999999999999" customHeight="1">
      <c r="A89" s="35" t="s">
        <v>1096</v>
      </c>
      <c r="B89" s="35" t="s">
        <v>1097</v>
      </c>
      <c r="C89" s="35" t="s">
        <v>1098</v>
      </c>
      <c r="D89" s="38" t="s">
        <v>1099</v>
      </c>
      <c r="E89" s="38" t="s">
        <v>802</v>
      </c>
      <c r="F89" s="35" t="s">
        <v>24</v>
      </c>
      <c r="G89" s="35"/>
      <c r="H89" s="35" t="s">
        <v>1957</v>
      </c>
      <c r="I89" s="35"/>
      <c r="J89" s="35"/>
      <c r="K89" s="35"/>
      <c r="L89" s="35"/>
      <c r="M89" s="35"/>
      <c r="N89" s="35"/>
      <c r="O89" s="35" t="s">
        <v>2198</v>
      </c>
    </row>
  </sheetData>
  <mergeCells count="3">
    <mergeCell ref="B2:E2"/>
    <mergeCell ref="B3:E3"/>
    <mergeCell ref="B4:E4"/>
  </mergeCells>
  <dataValidations count="1">
    <dataValidation type="list" sqref="F12:F89 L12:L89 I12:I89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1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67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70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36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36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1100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20" customHeight="1">
      <c r="A12" s="35" t="s">
        <v>1101</v>
      </c>
      <c r="B12" s="35" t="s">
        <v>1102</v>
      </c>
      <c r="C12" s="35" t="s">
        <v>1103</v>
      </c>
      <c r="D12" s="38" t="s">
        <v>1104</v>
      </c>
      <c r="E12" s="38" t="s">
        <v>802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2199</v>
      </c>
      <c r="P12" s="37"/>
      <c r="Q12" s="36"/>
      <c r="R12" s="37"/>
    </row>
    <row r="13" spans="1:18" ht="132.94999999999999" customHeight="1">
      <c r="A13" s="35" t="s">
        <v>1105</v>
      </c>
      <c r="B13" s="35" t="s">
        <v>1106</v>
      </c>
      <c r="C13" s="35" t="s">
        <v>1107</v>
      </c>
      <c r="D13" s="38" t="s">
        <v>1108</v>
      </c>
      <c r="E13" s="38" t="s">
        <v>802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2200</v>
      </c>
      <c r="P13" s="1"/>
      <c r="Q13" s="36"/>
      <c r="R13" s="1"/>
    </row>
    <row r="14" spans="1:18" ht="27" customHeight="1">
      <c r="A14" s="121" t="s">
        <v>1109</v>
      </c>
      <c r="B14" s="121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3"/>
      <c r="P14" s="1"/>
      <c r="Q14" s="36"/>
      <c r="R14" s="1"/>
    </row>
    <row r="15" spans="1:18" ht="120" customHeight="1">
      <c r="A15" s="35" t="s">
        <v>1110</v>
      </c>
      <c r="B15" s="35" t="s">
        <v>1111</v>
      </c>
      <c r="C15" s="35" t="s">
        <v>1112</v>
      </c>
      <c r="D15" s="38" t="s">
        <v>1113</v>
      </c>
      <c r="E15" s="38" t="s">
        <v>802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2201</v>
      </c>
      <c r="P15" s="29"/>
      <c r="Q15" s="124"/>
      <c r="R15" s="29"/>
    </row>
    <row r="16" spans="1:18" ht="132.94999999999999" customHeight="1">
      <c r="A16" s="35" t="s">
        <v>1114</v>
      </c>
      <c r="B16" s="35" t="s">
        <v>1115</v>
      </c>
      <c r="C16" s="35" t="s">
        <v>1116</v>
      </c>
      <c r="D16" s="38" t="s">
        <v>1117</v>
      </c>
      <c r="E16" s="38" t="s">
        <v>802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2202</v>
      </c>
      <c r="P16" s="1"/>
      <c r="Q16" s="36"/>
      <c r="R16" s="1"/>
    </row>
    <row r="17" spans="1:18" ht="120" customHeight="1">
      <c r="A17" s="35" t="s">
        <v>1118</v>
      </c>
      <c r="B17" s="35" t="s">
        <v>1119</v>
      </c>
      <c r="C17" s="35" t="s">
        <v>1120</v>
      </c>
      <c r="D17" s="38" t="s">
        <v>1121</v>
      </c>
      <c r="E17" s="38" t="s">
        <v>802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2203</v>
      </c>
      <c r="P17" s="1"/>
      <c r="Q17" s="27"/>
      <c r="R17" s="1"/>
    </row>
    <row r="18" spans="1:18" ht="27" customHeight="1">
      <c r="A18" s="121" t="s">
        <v>1122</v>
      </c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3"/>
      <c r="P18" s="29"/>
      <c r="Q18" s="124"/>
      <c r="R18" s="29"/>
    </row>
    <row r="19" spans="1:18" ht="132.94999999999999" customHeight="1">
      <c r="A19" s="35" t="s">
        <v>1123</v>
      </c>
      <c r="B19" s="35" t="s">
        <v>1124</v>
      </c>
      <c r="C19" s="35" t="s">
        <v>1125</v>
      </c>
      <c r="D19" s="38" t="s">
        <v>1126</v>
      </c>
      <c r="E19" s="38" t="s">
        <v>802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2204</v>
      </c>
      <c r="P19" s="1"/>
      <c r="Q19" s="36"/>
      <c r="R19" s="1"/>
    </row>
    <row r="20" spans="1:18" ht="132.94999999999999" customHeight="1">
      <c r="A20" s="35" t="s">
        <v>1127</v>
      </c>
      <c r="B20" s="35" t="s">
        <v>1128</v>
      </c>
      <c r="C20" s="35" t="s">
        <v>1129</v>
      </c>
      <c r="D20" s="38" t="s">
        <v>1130</v>
      </c>
      <c r="E20" s="38" t="s">
        <v>802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2205</v>
      </c>
    </row>
    <row r="21" spans="1:18" ht="132.94999999999999" customHeight="1">
      <c r="A21" s="35" t="s">
        <v>1131</v>
      </c>
      <c r="B21" s="35" t="s">
        <v>1132</v>
      </c>
      <c r="C21" s="35" t="s">
        <v>1133</v>
      </c>
      <c r="D21" s="38" t="s">
        <v>1134</v>
      </c>
      <c r="E21" s="38" t="s">
        <v>802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2206</v>
      </c>
    </row>
    <row r="22" spans="1:18" ht="132.94999999999999" customHeight="1">
      <c r="A22" s="35" t="s">
        <v>1135</v>
      </c>
      <c r="B22" s="35" t="s">
        <v>1136</v>
      </c>
      <c r="C22" s="35" t="s">
        <v>1137</v>
      </c>
      <c r="D22" s="38" t="s">
        <v>1138</v>
      </c>
      <c r="E22" s="38" t="s">
        <v>802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2207</v>
      </c>
    </row>
    <row r="23" spans="1:18" ht="132.94999999999999" customHeight="1">
      <c r="A23" s="35" t="s">
        <v>1139</v>
      </c>
      <c r="B23" s="35" t="s">
        <v>1140</v>
      </c>
      <c r="C23" s="35" t="s">
        <v>1141</v>
      </c>
      <c r="D23" s="38" t="s">
        <v>1142</v>
      </c>
      <c r="E23" s="38" t="s">
        <v>802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2208</v>
      </c>
    </row>
    <row r="24" spans="1:18" ht="132.94999999999999" customHeight="1">
      <c r="A24" s="35" t="s">
        <v>1143</v>
      </c>
      <c r="B24" s="35" t="s">
        <v>1144</v>
      </c>
      <c r="C24" s="35" t="s">
        <v>1145</v>
      </c>
      <c r="D24" s="38" t="s">
        <v>1146</v>
      </c>
      <c r="E24" s="38" t="s">
        <v>802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2209</v>
      </c>
    </row>
    <row r="25" spans="1:18" ht="146.1" customHeight="1">
      <c r="A25" s="35" t="s">
        <v>1147</v>
      </c>
      <c r="B25" s="35" t="s">
        <v>1148</v>
      </c>
      <c r="C25" s="35" t="s">
        <v>1149</v>
      </c>
      <c r="D25" s="38" t="s">
        <v>1150</v>
      </c>
      <c r="E25" s="38" t="s">
        <v>802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2210</v>
      </c>
    </row>
    <row r="26" spans="1:18" ht="146.1" customHeight="1">
      <c r="A26" s="35" t="s">
        <v>1151</v>
      </c>
      <c r="B26" s="35" t="s">
        <v>1152</v>
      </c>
      <c r="C26" s="35" t="s">
        <v>1153</v>
      </c>
      <c r="D26" s="38" t="s">
        <v>1154</v>
      </c>
      <c r="E26" s="38" t="s">
        <v>802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2211</v>
      </c>
    </row>
    <row r="27" spans="1:18" ht="132.94999999999999" customHeight="1">
      <c r="A27" s="35" t="s">
        <v>1155</v>
      </c>
      <c r="B27" s="35" t="s">
        <v>1156</v>
      </c>
      <c r="C27" s="35" t="s">
        <v>1157</v>
      </c>
      <c r="D27" s="38" t="s">
        <v>1158</v>
      </c>
      <c r="E27" s="38" t="s">
        <v>802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2212</v>
      </c>
    </row>
    <row r="28" spans="1:18" ht="132.94999999999999" customHeight="1">
      <c r="A28" s="35" t="s">
        <v>1159</v>
      </c>
      <c r="B28" s="35" t="s">
        <v>1160</v>
      </c>
      <c r="C28" s="35" t="s">
        <v>1161</v>
      </c>
      <c r="D28" s="38" t="s">
        <v>1162</v>
      </c>
      <c r="E28" s="38" t="s">
        <v>802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2213</v>
      </c>
    </row>
    <row r="29" spans="1:18" ht="132.94999999999999" customHeight="1">
      <c r="A29" s="35" t="s">
        <v>1163</v>
      </c>
      <c r="B29" s="35" t="s">
        <v>1164</v>
      </c>
      <c r="C29" s="35" t="s">
        <v>1165</v>
      </c>
      <c r="D29" s="38" t="s">
        <v>1166</v>
      </c>
      <c r="E29" s="38" t="s">
        <v>802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2214</v>
      </c>
    </row>
    <row r="30" spans="1:18" ht="120" customHeight="1">
      <c r="A30" s="35" t="s">
        <v>1167</v>
      </c>
      <c r="B30" s="35" t="s">
        <v>1168</v>
      </c>
      <c r="C30" s="35" t="s">
        <v>1169</v>
      </c>
      <c r="D30" s="38" t="s">
        <v>1170</v>
      </c>
      <c r="E30" s="38" t="s">
        <v>802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2215</v>
      </c>
    </row>
    <row r="31" spans="1:18" ht="132.94999999999999" customHeight="1">
      <c r="A31" s="35" t="s">
        <v>1171</v>
      </c>
      <c r="B31" s="35" t="s">
        <v>1172</v>
      </c>
      <c r="C31" s="35" t="s">
        <v>1173</v>
      </c>
      <c r="D31" s="38" t="s">
        <v>1174</v>
      </c>
      <c r="E31" s="38" t="s">
        <v>802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2216</v>
      </c>
    </row>
    <row r="32" spans="1:18" ht="132.94999999999999" customHeight="1">
      <c r="A32" s="35" t="s">
        <v>1175</v>
      </c>
      <c r="B32" s="35" t="s">
        <v>1176</v>
      </c>
      <c r="C32" s="35" t="s">
        <v>1177</v>
      </c>
      <c r="D32" s="38" t="s">
        <v>1178</v>
      </c>
      <c r="E32" s="38" t="s">
        <v>802</v>
      </c>
      <c r="F32" s="35" t="s">
        <v>24</v>
      </c>
      <c r="G32" s="35"/>
      <c r="H32" s="35" t="s">
        <v>1957</v>
      </c>
      <c r="I32" s="35"/>
      <c r="J32" s="35"/>
      <c r="K32" s="35"/>
      <c r="L32" s="35"/>
      <c r="M32" s="35"/>
      <c r="N32" s="35"/>
      <c r="O32" s="35" t="s">
        <v>2217</v>
      </c>
    </row>
    <row r="33" spans="1:15" ht="132.94999999999999" customHeight="1">
      <c r="A33" s="35" t="s">
        <v>1179</v>
      </c>
      <c r="B33" s="35" t="s">
        <v>1180</v>
      </c>
      <c r="C33" s="35" t="s">
        <v>1181</v>
      </c>
      <c r="D33" s="38" t="s">
        <v>1182</v>
      </c>
      <c r="E33" s="38" t="s">
        <v>802</v>
      </c>
      <c r="F33" s="35" t="s">
        <v>24</v>
      </c>
      <c r="G33" s="35"/>
      <c r="H33" s="35" t="s">
        <v>1957</v>
      </c>
      <c r="I33" s="35"/>
      <c r="J33" s="35"/>
      <c r="K33" s="35"/>
      <c r="L33" s="35"/>
      <c r="M33" s="35"/>
      <c r="N33" s="35"/>
      <c r="O33" s="35" t="s">
        <v>2218</v>
      </c>
    </row>
    <row r="34" spans="1:15" ht="132.94999999999999" customHeight="1">
      <c r="A34" s="35" t="s">
        <v>1183</v>
      </c>
      <c r="B34" s="35" t="s">
        <v>1184</v>
      </c>
      <c r="C34" s="35" t="s">
        <v>1185</v>
      </c>
      <c r="D34" s="38" t="s">
        <v>1186</v>
      </c>
      <c r="E34" s="38" t="s">
        <v>802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2219</v>
      </c>
    </row>
    <row r="35" spans="1:15" ht="132.94999999999999" customHeight="1">
      <c r="A35" s="35" t="s">
        <v>1187</v>
      </c>
      <c r="B35" s="35" t="s">
        <v>1188</v>
      </c>
      <c r="C35" s="35" t="s">
        <v>1189</v>
      </c>
      <c r="D35" s="38" t="s">
        <v>1190</v>
      </c>
      <c r="E35" s="38" t="s">
        <v>802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2220</v>
      </c>
    </row>
    <row r="36" spans="1:15" ht="27" customHeight="1">
      <c r="A36" s="121" t="s">
        <v>1191</v>
      </c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32.94999999999999" customHeight="1">
      <c r="A37" s="35" t="s">
        <v>1192</v>
      </c>
      <c r="B37" s="35" t="s">
        <v>1193</v>
      </c>
      <c r="C37" s="35" t="s">
        <v>1194</v>
      </c>
      <c r="D37" s="38" t="s">
        <v>1195</v>
      </c>
      <c r="E37" s="38" t="s">
        <v>802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2221</v>
      </c>
    </row>
    <row r="38" spans="1:15" ht="120" customHeight="1">
      <c r="A38" s="35" t="s">
        <v>1196</v>
      </c>
      <c r="B38" s="35" t="s">
        <v>1197</v>
      </c>
      <c r="C38" s="35" t="s">
        <v>1198</v>
      </c>
      <c r="D38" s="38" t="s">
        <v>1199</v>
      </c>
      <c r="E38" s="38" t="s">
        <v>802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2222</v>
      </c>
    </row>
    <row r="39" spans="1:15" ht="132.94999999999999" customHeight="1">
      <c r="A39" s="35" t="s">
        <v>1200</v>
      </c>
      <c r="B39" s="35" t="s">
        <v>1201</v>
      </c>
      <c r="C39" s="35" t="s">
        <v>1202</v>
      </c>
      <c r="D39" s="38" t="s">
        <v>1203</v>
      </c>
      <c r="E39" s="38" t="s">
        <v>802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2223</v>
      </c>
    </row>
    <row r="40" spans="1:15" ht="132.94999999999999" customHeight="1">
      <c r="A40" s="35" t="s">
        <v>1204</v>
      </c>
      <c r="B40" s="35" t="s">
        <v>1205</v>
      </c>
      <c r="C40" s="35" t="s">
        <v>1206</v>
      </c>
      <c r="D40" s="38" t="s">
        <v>1207</v>
      </c>
      <c r="E40" s="38" t="s">
        <v>802</v>
      </c>
      <c r="F40" s="35" t="s">
        <v>24</v>
      </c>
      <c r="G40" s="35"/>
      <c r="H40" s="35" t="s">
        <v>1957</v>
      </c>
      <c r="I40" s="35"/>
      <c r="J40" s="35"/>
      <c r="K40" s="35"/>
      <c r="L40" s="35"/>
      <c r="M40" s="35"/>
      <c r="N40" s="35"/>
      <c r="O40" s="35" t="s">
        <v>2224</v>
      </c>
    </row>
    <row r="41" spans="1:15" ht="132.94999999999999" customHeight="1">
      <c r="A41" s="35" t="s">
        <v>1208</v>
      </c>
      <c r="B41" s="35" t="s">
        <v>1209</v>
      </c>
      <c r="C41" s="35" t="s">
        <v>1210</v>
      </c>
      <c r="D41" s="38" t="s">
        <v>1211</v>
      </c>
      <c r="E41" s="38" t="s">
        <v>802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2225</v>
      </c>
    </row>
    <row r="42" spans="1:15" ht="132.94999999999999" customHeight="1">
      <c r="A42" s="35" t="s">
        <v>1212</v>
      </c>
      <c r="B42" s="35" t="s">
        <v>1213</v>
      </c>
      <c r="C42" s="35" t="s">
        <v>1214</v>
      </c>
      <c r="D42" s="38" t="s">
        <v>1215</v>
      </c>
      <c r="E42" s="38" t="s">
        <v>802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2226</v>
      </c>
    </row>
    <row r="43" spans="1:15" ht="27" customHeight="1">
      <c r="A43" s="121" t="s">
        <v>1216</v>
      </c>
      <c r="B43" s="121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3"/>
    </row>
    <row r="44" spans="1:15" ht="120" customHeight="1">
      <c r="A44" s="35" t="s">
        <v>1217</v>
      </c>
      <c r="B44" s="35" t="s">
        <v>1218</v>
      </c>
      <c r="C44" s="35" t="s">
        <v>1219</v>
      </c>
      <c r="D44" s="38" t="s">
        <v>1220</v>
      </c>
      <c r="E44" s="38" t="s">
        <v>802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2227</v>
      </c>
    </row>
    <row r="45" spans="1:15" ht="132.94999999999999" customHeight="1">
      <c r="A45" s="35" t="s">
        <v>1221</v>
      </c>
      <c r="B45" s="35" t="s">
        <v>1222</v>
      </c>
      <c r="C45" s="35" t="s">
        <v>1223</v>
      </c>
      <c r="D45" s="38" t="s">
        <v>1224</v>
      </c>
      <c r="E45" s="38" t="s">
        <v>802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2228</v>
      </c>
    </row>
    <row r="46" spans="1:15" ht="132.94999999999999" customHeight="1">
      <c r="A46" s="35" t="s">
        <v>1225</v>
      </c>
      <c r="B46" s="35" t="s">
        <v>1226</v>
      </c>
      <c r="C46" s="35" t="s">
        <v>1227</v>
      </c>
      <c r="D46" s="38" t="s">
        <v>1228</v>
      </c>
      <c r="E46" s="38" t="s">
        <v>802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2229</v>
      </c>
    </row>
    <row r="47" spans="1:15" ht="132.94999999999999" customHeight="1">
      <c r="A47" s="35" t="s">
        <v>1229</v>
      </c>
      <c r="B47" s="35" t="s">
        <v>1230</v>
      </c>
      <c r="C47" s="35" t="s">
        <v>1231</v>
      </c>
      <c r="D47" s="38" t="s">
        <v>1232</v>
      </c>
      <c r="E47" s="38" t="s">
        <v>802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2230</v>
      </c>
    </row>
    <row r="48" spans="1:15" ht="132.94999999999999" customHeight="1">
      <c r="A48" s="35" t="s">
        <v>1233</v>
      </c>
      <c r="B48" s="35" t="s">
        <v>1234</v>
      </c>
      <c r="C48" s="35" t="s">
        <v>1235</v>
      </c>
      <c r="D48" s="38" t="s">
        <v>1236</v>
      </c>
      <c r="E48" s="38" t="s">
        <v>802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2231</v>
      </c>
    </row>
    <row r="49" spans="1:15" ht="132.94999999999999" customHeight="1">
      <c r="A49" s="35" t="s">
        <v>1237</v>
      </c>
      <c r="B49" s="35" t="s">
        <v>1238</v>
      </c>
      <c r="C49" s="35" t="s">
        <v>1239</v>
      </c>
      <c r="D49" s="38" t="s">
        <v>1240</v>
      </c>
      <c r="E49" s="38" t="s">
        <v>802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2232</v>
      </c>
    </row>
    <row r="50" spans="1:15" ht="132.94999999999999" customHeight="1">
      <c r="A50" s="35" t="s">
        <v>1241</v>
      </c>
      <c r="B50" s="35" t="s">
        <v>1242</v>
      </c>
      <c r="C50" s="35" t="s">
        <v>1243</v>
      </c>
      <c r="D50" s="38" t="s">
        <v>1244</v>
      </c>
      <c r="E50" s="38" t="s">
        <v>802</v>
      </c>
      <c r="F50" s="35" t="s">
        <v>24</v>
      </c>
      <c r="G50" s="35"/>
      <c r="H50" s="35" t="s">
        <v>1957</v>
      </c>
      <c r="I50" s="35"/>
      <c r="J50" s="35"/>
      <c r="K50" s="35"/>
      <c r="L50" s="35"/>
      <c r="M50" s="35"/>
      <c r="N50" s="35"/>
      <c r="O50" s="35" t="s">
        <v>2233</v>
      </c>
    </row>
    <row r="51" spans="1:15" ht="132.94999999999999" customHeight="1">
      <c r="A51" s="35" t="s">
        <v>1245</v>
      </c>
      <c r="B51" s="35" t="s">
        <v>1246</v>
      </c>
      <c r="C51" s="35" t="s">
        <v>1247</v>
      </c>
      <c r="D51" s="38" t="s">
        <v>1248</v>
      </c>
      <c r="E51" s="38" t="s">
        <v>802</v>
      </c>
      <c r="F51" s="35" t="s">
        <v>24</v>
      </c>
      <c r="G51" s="35"/>
      <c r="H51" s="35" t="s">
        <v>1957</v>
      </c>
      <c r="I51" s="35"/>
      <c r="J51" s="35"/>
      <c r="K51" s="35"/>
      <c r="L51" s="35"/>
      <c r="M51" s="35"/>
      <c r="N51" s="35"/>
      <c r="O51" s="35" t="s">
        <v>2234</v>
      </c>
    </row>
  </sheetData>
  <mergeCells count="3">
    <mergeCell ref="B2:E2"/>
    <mergeCell ref="B3:E3"/>
    <mergeCell ref="B4:E4"/>
  </mergeCells>
  <dataValidations count="1">
    <dataValidation type="list" sqref="F12:F51 L12:L51 I12:I51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9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71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74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33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27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6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1249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20" customHeight="1">
      <c r="A12" s="35" t="s">
        <v>1250</v>
      </c>
      <c r="B12" s="35" t="s">
        <v>1251</v>
      </c>
      <c r="C12" s="35" t="s">
        <v>1252</v>
      </c>
      <c r="D12" s="38" t="s">
        <v>1253</v>
      </c>
      <c r="E12" s="38" t="s">
        <v>802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2235</v>
      </c>
      <c r="P12" s="37"/>
      <c r="Q12" s="36"/>
      <c r="R12" s="37"/>
    </row>
    <row r="13" spans="1:18" ht="132.94999999999999" customHeight="1">
      <c r="A13" s="35" t="s">
        <v>1254</v>
      </c>
      <c r="B13" s="35" t="s">
        <v>1255</v>
      </c>
      <c r="C13" s="35" t="s">
        <v>1256</v>
      </c>
      <c r="D13" s="38" t="s">
        <v>1257</v>
      </c>
      <c r="E13" s="38" t="s">
        <v>802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2236</v>
      </c>
      <c r="P13" s="1"/>
      <c r="Q13" s="36"/>
      <c r="R13" s="1"/>
    </row>
    <row r="14" spans="1:18" ht="132.94999999999999" customHeight="1">
      <c r="A14" s="35" t="s">
        <v>1258</v>
      </c>
      <c r="B14" s="35" t="s">
        <v>1259</v>
      </c>
      <c r="C14" s="35" t="s">
        <v>1260</v>
      </c>
      <c r="D14" s="38" t="s">
        <v>1261</v>
      </c>
      <c r="E14" s="38" t="s">
        <v>802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2237</v>
      </c>
      <c r="P14" s="1"/>
      <c r="Q14" s="36"/>
      <c r="R14" s="1"/>
    </row>
    <row r="15" spans="1:18" ht="132.94999999999999" customHeight="1">
      <c r="A15" s="35" t="s">
        <v>1262</v>
      </c>
      <c r="B15" s="35" t="s">
        <v>1263</v>
      </c>
      <c r="C15" s="35" t="s">
        <v>1264</v>
      </c>
      <c r="D15" s="38" t="s">
        <v>1265</v>
      </c>
      <c r="E15" s="38" t="s">
        <v>802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2238</v>
      </c>
      <c r="P15" s="29"/>
      <c r="Q15" s="124"/>
      <c r="R15" s="29"/>
    </row>
    <row r="16" spans="1:18" ht="132.94999999999999" customHeight="1">
      <c r="A16" s="35" t="s">
        <v>1266</v>
      </c>
      <c r="B16" s="35" t="s">
        <v>1267</v>
      </c>
      <c r="C16" s="35" t="s">
        <v>1268</v>
      </c>
      <c r="D16" s="38" t="s">
        <v>1269</v>
      </c>
      <c r="E16" s="38" t="s">
        <v>802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2239</v>
      </c>
      <c r="P16" s="1"/>
      <c r="Q16" s="36"/>
      <c r="R16" s="1"/>
    </row>
    <row r="17" spans="1:18" ht="132.94999999999999" customHeight="1">
      <c r="A17" s="35" t="s">
        <v>1270</v>
      </c>
      <c r="B17" s="35" t="s">
        <v>1271</v>
      </c>
      <c r="C17" s="35" t="s">
        <v>1272</v>
      </c>
      <c r="D17" s="38" t="s">
        <v>1273</v>
      </c>
      <c r="E17" s="38" t="s">
        <v>802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2240</v>
      </c>
      <c r="P17" s="1"/>
      <c r="Q17" s="27"/>
      <c r="R17" s="1"/>
    </row>
    <row r="18" spans="1:18" ht="27" customHeight="1">
      <c r="A18" s="121" t="s">
        <v>1274</v>
      </c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3"/>
      <c r="P18" s="29"/>
      <c r="Q18" s="124"/>
      <c r="R18" s="29"/>
    </row>
    <row r="19" spans="1:18" ht="120" customHeight="1">
      <c r="A19" s="35" t="s">
        <v>1275</v>
      </c>
      <c r="B19" s="35" t="s">
        <v>1276</v>
      </c>
      <c r="C19" s="35" t="s">
        <v>1277</v>
      </c>
      <c r="D19" s="38" t="s">
        <v>1278</v>
      </c>
      <c r="E19" s="38" t="s">
        <v>802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2241</v>
      </c>
      <c r="P19" s="1"/>
      <c r="Q19" s="36"/>
      <c r="R19" s="1"/>
    </row>
    <row r="20" spans="1:18" ht="132.94999999999999" customHeight="1">
      <c r="A20" s="35" t="s">
        <v>1279</v>
      </c>
      <c r="B20" s="35" t="s">
        <v>1280</v>
      </c>
      <c r="C20" s="35" t="s">
        <v>1281</v>
      </c>
      <c r="D20" s="38" t="s">
        <v>1282</v>
      </c>
      <c r="E20" s="38" t="s">
        <v>802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2242</v>
      </c>
    </row>
    <row r="21" spans="1:18" ht="132.94999999999999" customHeight="1">
      <c r="A21" s="35" t="s">
        <v>1283</v>
      </c>
      <c r="B21" s="35" t="s">
        <v>1284</v>
      </c>
      <c r="C21" s="35" t="s">
        <v>1285</v>
      </c>
      <c r="D21" s="38" t="s">
        <v>1286</v>
      </c>
      <c r="E21" s="38" t="s">
        <v>802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2243</v>
      </c>
    </row>
    <row r="22" spans="1:18" ht="120" customHeight="1">
      <c r="A22" s="35" t="s">
        <v>1287</v>
      </c>
      <c r="B22" s="35" t="s">
        <v>1288</v>
      </c>
      <c r="C22" s="35" t="s">
        <v>1289</v>
      </c>
      <c r="D22" s="38" t="s">
        <v>1290</v>
      </c>
      <c r="E22" s="38" t="s">
        <v>802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2244</v>
      </c>
    </row>
    <row r="23" spans="1:18" ht="120" customHeight="1">
      <c r="A23" s="35" t="s">
        <v>1291</v>
      </c>
      <c r="B23" s="35" t="s">
        <v>1292</v>
      </c>
      <c r="C23" s="35" t="s">
        <v>1293</v>
      </c>
      <c r="D23" s="38" t="s">
        <v>1294</v>
      </c>
      <c r="E23" s="38" t="s">
        <v>802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2245</v>
      </c>
    </row>
    <row r="24" spans="1:18" ht="132.94999999999999" customHeight="1">
      <c r="A24" s="35" t="s">
        <v>1295</v>
      </c>
      <c r="B24" s="35" t="s">
        <v>1296</v>
      </c>
      <c r="C24" s="35" t="s">
        <v>1297</v>
      </c>
      <c r="D24" s="38" t="s">
        <v>1298</v>
      </c>
      <c r="E24" s="38" t="s">
        <v>802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2246</v>
      </c>
    </row>
    <row r="25" spans="1:18" ht="120" customHeight="1">
      <c r="A25" s="35" t="s">
        <v>1299</v>
      </c>
      <c r="B25" s="35" t="s">
        <v>1300</v>
      </c>
      <c r="C25" s="35" t="s">
        <v>1301</v>
      </c>
      <c r="D25" s="38" t="s">
        <v>1302</v>
      </c>
      <c r="E25" s="38" t="s">
        <v>802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2247</v>
      </c>
    </row>
    <row r="26" spans="1:18" ht="132.94999999999999" customHeight="1">
      <c r="A26" s="35" t="s">
        <v>1303</v>
      </c>
      <c r="B26" s="35" t="s">
        <v>1304</v>
      </c>
      <c r="C26" s="35" t="s">
        <v>1305</v>
      </c>
      <c r="D26" s="38" t="s">
        <v>1306</v>
      </c>
      <c r="E26" s="38" t="s">
        <v>802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2248</v>
      </c>
    </row>
    <row r="27" spans="1:18" ht="132.94999999999999" customHeight="1">
      <c r="A27" s="35" t="s">
        <v>1307</v>
      </c>
      <c r="B27" s="35" t="s">
        <v>1308</v>
      </c>
      <c r="C27" s="35" t="s">
        <v>1309</v>
      </c>
      <c r="D27" s="38" t="s">
        <v>1310</v>
      </c>
      <c r="E27" s="38" t="s">
        <v>802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2249</v>
      </c>
    </row>
    <row r="28" spans="1:18" ht="132.94999999999999" customHeight="1">
      <c r="A28" s="35" t="s">
        <v>1311</v>
      </c>
      <c r="B28" s="35" t="s">
        <v>1312</v>
      </c>
      <c r="C28" s="35" t="s">
        <v>1313</v>
      </c>
      <c r="D28" s="38" t="s">
        <v>1314</v>
      </c>
      <c r="E28" s="38" t="s">
        <v>802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2250</v>
      </c>
    </row>
    <row r="29" spans="1:18" ht="27" customHeight="1">
      <c r="A29" s="121" t="s">
        <v>1315</v>
      </c>
      <c r="B29" s="121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3"/>
    </row>
    <row r="30" spans="1:18" ht="132.94999999999999" customHeight="1">
      <c r="A30" s="35" t="s">
        <v>1316</v>
      </c>
      <c r="B30" s="35" t="s">
        <v>1317</v>
      </c>
      <c r="C30" s="35" t="s">
        <v>1318</v>
      </c>
      <c r="D30" s="38" t="s">
        <v>1319</v>
      </c>
      <c r="E30" s="38" t="s">
        <v>1320</v>
      </c>
      <c r="F30" s="35" t="s">
        <v>92</v>
      </c>
      <c r="G30" s="35"/>
      <c r="H30" s="35"/>
      <c r="I30" s="35"/>
      <c r="J30" s="35"/>
      <c r="K30" s="35"/>
      <c r="L30" s="35"/>
      <c r="M30" s="35"/>
      <c r="N30" s="35"/>
      <c r="O30" s="35" t="s">
        <v>2251</v>
      </c>
    </row>
    <row r="31" spans="1:18" ht="132.94999999999999" customHeight="1">
      <c r="A31" s="35" t="s">
        <v>1321</v>
      </c>
      <c r="B31" s="35" t="s">
        <v>1322</v>
      </c>
      <c r="C31" s="35" t="s">
        <v>1323</v>
      </c>
      <c r="D31" s="38" t="s">
        <v>1324</v>
      </c>
      <c r="E31" s="38" t="s">
        <v>1320</v>
      </c>
      <c r="F31" s="35" t="s">
        <v>92</v>
      </c>
      <c r="G31" s="35"/>
      <c r="H31" s="35"/>
      <c r="I31" s="35"/>
      <c r="J31" s="35"/>
      <c r="K31" s="35"/>
      <c r="L31" s="35"/>
      <c r="M31" s="35"/>
      <c r="N31" s="35"/>
      <c r="O31" s="35" t="s">
        <v>2252</v>
      </c>
    </row>
    <row r="32" spans="1:18" ht="146.1" customHeight="1">
      <c r="A32" s="35" t="s">
        <v>1325</v>
      </c>
      <c r="B32" s="35" t="s">
        <v>1326</v>
      </c>
      <c r="C32" s="35" t="s">
        <v>1327</v>
      </c>
      <c r="D32" s="38" t="s">
        <v>1328</v>
      </c>
      <c r="E32" s="38" t="s">
        <v>1320</v>
      </c>
      <c r="F32" s="35" t="s">
        <v>92</v>
      </c>
      <c r="G32" s="35"/>
      <c r="H32" s="35"/>
      <c r="I32" s="35"/>
      <c r="J32" s="35"/>
      <c r="K32" s="35"/>
      <c r="L32" s="35"/>
      <c r="M32" s="35"/>
      <c r="N32" s="35"/>
      <c r="O32" s="35" t="s">
        <v>2253</v>
      </c>
    </row>
    <row r="33" spans="1:15" ht="146.1" customHeight="1">
      <c r="A33" s="35" t="s">
        <v>1329</v>
      </c>
      <c r="B33" s="35" t="s">
        <v>1330</v>
      </c>
      <c r="C33" s="35" t="s">
        <v>1331</v>
      </c>
      <c r="D33" s="38" t="s">
        <v>1332</v>
      </c>
      <c r="E33" s="38" t="s">
        <v>1320</v>
      </c>
      <c r="F33" s="35" t="s">
        <v>92</v>
      </c>
      <c r="G33" s="35"/>
      <c r="H33" s="35"/>
      <c r="I33" s="35"/>
      <c r="J33" s="35"/>
      <c r="K33" s="35"/>
      <c r="L33" s="35"/>
      <c r="M33" s="35"/>
      <c r="N33" s="35"/>
      <c r="O33" s="35" t="s">
        <v>2254</v>
      </c>
    </row>
    <row r="34" spans="1:15" ht="146.1" customHeight="1">
      <c r="A34" s="35" t="s">
        <v>1333</v>
      </c>
      <c r="B34" s="35" t="s">
        <v>1334</v>
      </c>
      <c r="C34" s="35" t="s">
        <v>1335</v>
      </c>
      <c r="D34" s="38" t="s">
        <v>1336</v>
      </c>
      <c r="E34" s="38" t="s">
        <v>1320</v>
      </c>
      <c r="F34" s="35" t="s">
        <v>92</v>
      </c>
      <c r="G34" s="35"/>
      <c r="H34" s="35"/>
      <c r="I34" s="35"/>
      <c r="J34" s="35"/>
      <c r="K34" s="35"/>
      <c r="L34" s="35"/>
      <c r="M34" s="35"/>
      <c r="N34" s="35"/>
      <c r="O34" s="35" t="s">
        <v>2255</v>
      </c>
    </row>
    <row r="35" spans="1:15" ht="132.94999999999999" customHeight="1">
      <c r="A35" s="35" t="s">
        <v>1337</v>
      </c>
      <c r="B35" s="35" t="s">
        <v>1338</v>
      </c>
      <c r="C35" s="35" t="s">
        <v>1339</v>
      </c>
      <c r="D35" s="38" t="s">
        <v>1340</v>
      </c>
      <c r="E35" s="38" t="s">
        <v>1320</v>
      </c>
      <c r="F35" s="35" t="s">
        <v>92</v>
      </c>
      <c r="G35" s="35"/>
      <c r="H35" s="35"/>
      <c r="I35" s="35"/>
      <c r="J35" s="35"/>
      <c r="K35" s="35"/>
      <c r="L35" s="35"/>
      <c r="M35" s="35"/>
      <c r="N35" s="35"/>
      <c r="O35" s="35" t="s">
        <v>2256</v>
      </c>
    </row>
    <row r="36" spans="1:15" ht="27" customHeight="1">
      <c r="A36" s="121" t="s">
        <v>1109</v>
      </c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32.94999999999999" customHeight="1">
      <c r="A37" s="35" t="s">
        <v>1341</v>
      </c>
      <c r="B37" s="35" t="s">
        <v>1342</v>
      </c>
      <c r="C37" s="35" t="s">
        <v>1343</v>
      </c>
      <c r="D37" s="38" t="s">
        <v>1344</v>
      </c>
      <c r="E37" s="38" t="s">
        <v>802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2257</v>
      </c>
    </row>
    <row r="38" spans="1:15" ht="132.94999999999999" customHeight="1">
      <c r="A38" s="35" t="s">
        <v>1345</v>
      </c>
      <c r="B38" s="35" t="s">
        <v>1346</v>
      </c>
      <c r="C38" s="35" t="s">
        <v>1347</v>
      </c>
      <c r="D38" s="38" t="s">
        <v>1348</v>
      </c>
      <c r="E38" s="38" t="s">
        <v>802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2258</v>
      </c>
    </row>
    <row r="39" spans="1:15" ht="132.94999999999999" customHeight="1">
      <c r="A39" s="35" t="s">
        <v>1349</v>
      </c>
      <c r="B39" s="35" t="s">
        <v>1350</v>
      </c>
      <c r="C39" s="35" t="s">
        <v>1351</v>
      </c>
      <c r="D39" s="38" t="s">
        <v>1352</v>
      </c>
      <c r="E39" s="38" t="s">
        <v>802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2259</v>
      </c>
    </row>
    <row r="40" spans="1:15" ht="27" customHeight="1">
      <c r="A40" s="121" t="s">
        <v>1353</v>
      </c>
      <c r="B40" s="121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1" spans="1:15" ht="132.94999999999999" customHeight="1">
      <c r="A41" s="35" t="s">
        <v>1354</v>
      </c>
      <c r="B41" s="35" t="s">
        <v>1355</v>
      </c>
      <c r="C41" s="35" t="s">
        <v>1356</v>
      </c>
      <c r="D41" s="38" t="s">
        <v>1357</v>
      </c>
      <c r="E41" s="38" t="s">
        <v>802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2260</v>
      </c>
    </row>
    <row r="42" spans="1:15" ht="132.94999999999999" customHeight="1">
      <c r="A42" s="35" t="s">
        <v>1358</v>
      </c>
      <c r="B42" s="35" t="s">
        <v>1359</v>
      </c>
      <c r="C42" s="35" t="s">
        <v>1360</v>
      </c>
      <c r="D42" s="38" t="s">
        <v>1361</v>
      </c>
      <c r="E42" s="38" t="s">
        <v>802</v>
      </c>
      <c r="F42" s="35" t="s">
        <v>24</v>
      </c>
      <c r="G42" s="35"/>
      <c r="H42" s="35" t="s">
        <v>1957</v>
      </c>
      <c r="I42" s="35"/>
      <c r="J42" s="35"/>
      <c r="K42" s="35"/>
      <c r="L42" s="35"/>
      <c r="M42" s="35"/>
      <c r="N42" s="35"/>
      <c r="O42" s="35" t="s">
        <v>2261</v>
      </c>
    </row>
    <row r="43" spans="1:15" ht="132.94999999999999" customHeight="1">
      <c r="A43" s="35" t="s">
        <v>1362</v>
      </c>
      <c r="B43" s="35" t="s">
        <v>1363</v>
      </c>
      <c r="C43" s="35" t="s">
        <v>1364</v>
      </c>
      <c r="D43" s="38" t="s">
        <v>1365</v>
      </c>
      <c r="E43" s="38" t="s">
        <v>802</v>
      </c>
      <c r="F43" s="35" t="s">
        <v>24</v>
      </c>
      <c r="G43" s="35"/>
      <c r="H43" s="35" t="s">
        <v>1957</v>
      </c>
      <c r="I43" s="35"/>
      <c r="J43" s="35"/>
      <c r="K43" s="35"/>
      <c r="L43" s="35"/>
      <c r="M43" s="35"/>
      <c r="N43" s="35"/>
      <c r="O43" s="35" t="s">
        <v>2262</v>
      </c>
    </row>
    <row r="44" spans="1:15" ht="132.94999999999999" customHeight="1">
      <c r="A44" s="35" t="s">
        <v>1366</v>
      </c>
      <c r="B44" s="35" t="s">
        <v>1367</v>
      </c>
      <c r="C44" s="35" t="s">
        <v>1368</v>
      </c>
      <c r="D44" s="38" t="s">
        <v>1369</v>
      </c>
      <c r="E44" s="38" t="s">
        <v>802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2263</v>
      </c>
    </row>
    <row r="45" spans="1:15" ht="132.94999999999999" customHeight="1">
      <c r="A45" s="35" t="s">
        <v>1370</v>
      </c>
      <c r="B45" s="35" t="s">
        <v>1371</v>
      </c>
      <c r="C45" s="35" t="s">
        <v>1372</v>
      </c>
      <c r="D45" s="38" t="s">
        <v>1373</v>
      </c>
      <c r="E45" s="38" t="s">
        <v>802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2264</v>
      </c>
    </row>
    <row r="46" spans="1:15" ht="27" customHeight="1">
      <c r="A46" s="121" t="s">
        <v>1374</v>
      </c>
      <c r="B46" s="121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3"/>
    </row>
    <row r="47" spans="1:15" ht="132.94999999999999" customHeight="1">
      <c r="A47" s="35" t="s">
        <v>1375</v>
      </c>
      <c r="B47" s="35" t="s">
        <v>1376</v>
      </c>
      <c r="C47" s="35" t="s">
        <v>1377</v>
      </c>
      <c r="D47" s="38" t="s">
        <v>1378</v>
      </c>
      <c r="E47" s="38" t="s">
        <v>802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2265</v>
      </c>
    </row>
    <row r="48" spans="1:15" ht="132.94999999999999" customHeight="1">
      <c r="A48" s="35" t="s">
        <v>1379</v>
      </c>
      <c r="B48" s="35" t="s">
        <v>1380</v>
      </c>
      <c r="C48" s="35" t="s">
        <v>1381</v>
      </c>
      <c r="D48" s="38" t="s">
        <v>1382</v>
      </c>
      <c r="E48" s="38" t="s">
        <v>802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2266</v>
      </c>
    </row>
    <row r="49" spans="1:15" ht="132.94999999999999" customHeight="1">
      <c r="A49" s="35" t="s">
        <v>1383</v>
      </c>
      <c r="B49" s="35" t="s">
        <v>1384</v>
      </c>
      <c r="C49" s="35" t="s">
        <v>1385</v>
      </c>
      <c r="D49" s="38" t="s">
        <v>1386</v>
      </c>
      <c r="E49" s="38" t="s">
        <v>802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2267</v>
      </c>
    </row>
  </sheetData>
  <mergeCells count="3">
    <mergeCell ref="B2:E2"/>
    <mergeCell ref="B3:E3"/>
    <mergeCell ref="B4:E4"/>
  </mergeCells>
  <dataValidations count="1">
    <dataValidation type="list" sqref="F12:F49 L12:L49 I12:I49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4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75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78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12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12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1387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32.94999999999999" customHeight="1">
      <c r="A12" s="35" t="s">
        <v>1388</v>
      </c>
      <c r="B12" s="35" t="s">
        <v>1389</v>
      </c>
      <c r="C12" s="35" t="s">
        <v>1390</v>
      </c>
      <c r="D12" s="38" t="s">
        <v>1391</v>
      </c>
      <c r="E12" s="38" t="s">
        <v>1392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2268</v>
      </c>
      <c r="P12" s="37"/>
      <c r="Q12" s="36"/>
      <c r="R12" s="37"/>
    </row>
    <row r="13" spans="1:18" ht="132.94999999999999" customHeight="1">
      <c r="A13" s="35" t="s">
        <v>1393</v>
      </c>
      <c r="B13" s="35" t="s">
        <v>1394</v>
      </c>
      <c r="C13" s="35" t="s">
        <v>1395</v>
      </c>
      <c r="D13" s="38" t="s">
        <v>1396</v>
      </c>
      <c r="E13" s="38" t="s">
        <v>1392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2269</v>
      </c>
      <c r="P13" s="1"/>
      <c r="Q13" s="36"/>
      <c r="R13" s="1"/>
    </row>
    <row r="14" spans="1:18" ht="132.94999999999999" customHeight="1">
      <c r="A14" s="35" t="s">
        <v>1397</v>
      </c>
      <c r="B14" s="35" t="s">
        <v>1398</v>
      </c>
      <c r="C14" s="35" t="s">
        <v>1399</v>
      </c>
      <c r="D14" s="38" t="s">
        <v>1400</v>
      </c>
      <c r="E14" s="38" t="s">
        <v>1392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2270</v>
      </c>
      <c r="P14" s="1"/>
      <c r="Q14" s="36"/>
      <c r="R14" s="1"/>
    </row>
    <row r="15" spans="1:18" ht="132.94999999999999" customHeight="1">
      <c r="A15" s="35" t="s">
        <v>1401</v>
      </c>
      <c r="B15" s="35" t="s">
        <v>1402</v>
      </c>
      <c r="C15" s="35" t="s">
        <v>1403</v>
      </c>
      <c r="D15" s="38" t="s">
        <v>1404</v>
      </c>
      <c r="E15" s="38" t="s">
        <v>1392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2271</v>
      </c>
      <c r="P15" s="29"/>
      <c r="Q15" s="124"/>
      <c r="R15" s="29"/>
    </row>
    <row r="16" spans="1:18" ht="132.94999999999999" customHeight="1">
      <c r="A16" s="35" t="s">
        <v>1405</v>
      </c>
      <c r="B16" s="35" t="s">
        <v>1406</v>
      </c>
      <c r="C16" s="35" t="s">
        <v>1407</v>
      </c>
      <c r="D16" s="38" t="s">
        <v>1408</v>
      </c>
      <c r="E16" s="38" t="s">
        <v>1392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2272</v>
      </c>
      <c r="P16" s="1"/>
      <c r="Q16" s="36"/>
      <c r="R16" s="1"/>
    </row>
    <row r="17" spans="1:18" ht="132.94999999999999" customHeight="1">
      <c r="A17" s="35" t="s">
        <v>1409</v>
      </c>
      <c r="B17" s="35" t="s">
        <v>1410</v>
      </c>
      <c r="C17" s="35" t="s">
        <v>1411</v>
      </c>
      <c r="D17" s="38" t="s">
        <v>1412</v>
      </c>
      <c r="E17" s="38" t="s">
        <v>1392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2273</v>
      </c>
      <c r="P17" s="1"/>
      <c r="Q17" s="27"/>
      <c r="R17" s="1"/>
    </row>
    <row r="18" spans="1:18" ht="132.94999999999999" customHeight="1">
      <c r="A18" s="35" t="s">
        <v>1413</v>
      </c>
      <c r="B18" s="35" t="s">
        <v>1414</v>
      </c>
      <c r="C18" s="35" t="s">
        <v>1415</v>
      </c>
      <c r="D18" s="38" t="s">
        <v>1416</v>
      </c>
      <c r="E18" s="38" t="s">
        <v>1392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2274</v>
      </c>
      <c r="P18" s="29"/>
      <c r="Q18" s="124"/>
      <c r="R18" s="29"/>
    </row>
    <row r="19" spans="1:18" ht="27" customHeight="1">
      <c r="A19" s="121" t="s">
        <v>1417</v>
      </c>
      <c r="B19" s="121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3"/>
      <c r="P19" s="1"/>
      <c r="Q19" s="36"/>
      <c r="R19" s="1"/>
    </row>
    <row r="20" spans="1:18" ht="132.94999999999999" customHeight="1">
      <c r="A20" s="35" t="s">
        <v>1418</v>
      </c>
      <c r="B20" s="35" t="s">
        <v>1419</v>
      </c>
      <c r="C20" s="35" t="s">
        <v>1420</v>
      </c>
      <c r="D20" s="38" t="s">
        <v>1421</v>
      </c>
      <c r="E20" s="38" t="s">
        <v>1422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2275</v>
      </c>
    </row>
    <row r="21" spans="1:18" ht="120" customHeight="1">
      <c r="A21" s="35" t="s">
        <v>1423</v>
      </c>
      <c r="B21" s="35" t="s">
        <v>1424</v>
      </c>
      <c r="C21" s="35" t="s">
        <v>1425</v>
      </c>
      <c r="D21" s="38" t="s">
        <v>1426</v>
      </c>
      <c r="E21" s="38" t="s">
        <v>1422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2276</v>
      </c>
    </row>
    <row r="22" spans="1:18" ht="132.94999999999999" customHeight="1">
      <c r="A22" s="35" t="s">
        <v>1427</v>
      </c>
      <c r="B22" s="35" t="s">
        <v>1428</v>
      </c>
      <c r="C22" s="35" t="s">
        <v>1429</v>
      </c>
      <c r="D22" s="38" t="s">
        <v>1430</v>
      </c>
      <c r="E22" s="38" t="s">
        <v>1422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2277</v>
      </c>
    </row>
    <row r="23" spans="1:18" ht="107.1" customHeight="1">
      <c r="A23" s="35" t="s">
        <v>1431</v>
      </c>
      <c r="B23" s="35" t="s">
        <v>1432</v>
      </c>
      <c r="C23" s="35" t="s">
        <v>1433</v>
      </c>
      <c r="D23" s="38" t="s">
        <v>1434</v>
      </c>
      <c r="E23" s="38" t="s">
        <v>1422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2278</v>
      </c>
    </row>
    <row r="24" spans="1:18" ht="132.94999999999999" customHeight="1">
      <c r="A24" s="35" t="s">
        <v>1435</v>
      </c>
      <c r="B24" s="35" t="s">
        <v>1436</v>
      </c>
      <c r="C24" s="35" t="s">
        <v>1437</v>
      </c>
      <c r="D24" s="38" t="s">
        <v>1438</v>
      </c>
      <c r="E24" s="38" t="s">
        <v>1422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2279</v>
      </c>
    </row>
  </sheetData>
  <mergeCells count="3">
    <mergeCell ref="B2:E2"/>
    <mergeCell ref="B3:E3"/>
    <mergeCell ref="B4:E4"/>
  </mergeCells>
  <dataValidations count="1">
    <dataValidation type="list" sqref="F12:F24 L12:L24 I12:I24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79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82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16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16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1439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32.94999999999999" customHeight="1">
      <c r="A12" s="35" t="s">
        <v>1440</v>
      </c>
      <c r="B12" s="35" t="s">
        <v>1441</v>
      </c>
      <c r="C12" s="35" t="s">
        <v>1442</v>
      </c>
      <c r="D12" s="38" t="s">
        <v>1443</v>
      </c>
      <c r="E12" s="38" t="s">
        <v>1444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2280</v>
      </c>
      <c r="P12" s="37"/>
      <c r="Q12" s="36"/>
      <c r="R12" s="37"/>
    </row>
    <row r="13" spans="1:18" ht="132.94999999999999" customHeight="1">
      <c r="A13" s="35" t="s">
        <v>1445</v>
      </c>
      <c r="B13" s="35" t="s">
        <v>1446</v>
      </c>
      <c r="C13" s="35" t="s">
        <v>1447</v>
      </c>
      <c r="D13" s="38" t="s">
        <v>1448</v>
      </c>
      <c r="E13" s="38" t="s">
        <v>1444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2281</v>
      </c>
      <c r="P13" s="1"/>
      <c r="Q13" s="36"/>
      <c r="R13" s="1"/>
    </row>
    <row r="14" spans="1:18" ht="132.94999999999999" customHeight="1">
      <c r="A14" s="35" t="s">
        <v>1449</v>
      </c>
      <c r="B14" s="35" t="s">
        <v>1450</v>
      </c>
      <c r="C14" s="35" t="s">
        <v>1451</v>
      </c>
      <c r="D14" s="38" t="s">
        <v>1452</v>
      </c>
      <c r="E14" s="38" t="s">
        <v>1444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2282</v>
      </c>
      <c r="P14" s="1"/>
      <c r="Q14" s="36"/>
      <c r="R14" s="1"/>
    </row>
    <row r="15" spans="1:18" ht="132.94999999999999" customHeight="1">
      <c r="A15" s="35" t="s">
        <v>1453</v>
      </c>
      <c r="B15" s="35" t="s">
        <v>1454</v>
      </c>
      <c r="C15" s="35" t="s">
        <v>1455</v>
      </c>
      <c r="D15" s="38" t="s">
        <v>1456</v>
      </c>
      <c r="E15" s="38" t="s">
        <v>1444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2282</v>
      </c>
      <c r="P15" s="29"/>
      <c r="Q15" s="124"/>
      <c r="R15" s="29"/>
    </row>
    <row r="16" spans="1:18" ht="132.94999999999999" customHeight="1">
      <c r="A16" s="35" t="s">
        <v>1457</v>
      </c>
      <c r="B16" s="35" t="s">
        <v>1458</v>
      </c>
      <c r="C16" s="35" t="s">
        <v>1459</v>
      </c>
      <c r="D16" s="38" t="s">
        <v>1460</v>
      </c>
      <c r="E16" s="38" t="s">
        <v>1444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2282</v>
      </c>
      <c r="P16" s="1"/>
      <c r="Q16" s="36"/>
      <c r="R16" s="1"/>
    </row>
    <row r="17" spans="1:18" ht="132.94999999999999" customHeight="1">
      <c r="A17" s="35" t="s">
        <v>1461</v>
      </c>
      <c r="B17" s="35" t="s">
        <v>1462</v>
      </c>
      <c r="C17" s="35" t="s">
        <v>1463</v>
      </c>
      <c r="D17" s="38" t="s">
        <v>1464</v>
      </c>
      <c r="E17" s="38" t="s">
        <v>1444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2283</v>
      </c>
      <c r="P17" s="1"/>
      <c r="Q17" s="27"/>
      <c r="R17" s="1"/>
    </row>
    <row r="18" spans="1:18" ht="120" customHeight="1">
      <c r="A18" s="35" t="s">
        <v>1465</v>
      </c>
      <c r="B18" s="35" t="s">
        <v>1466</v>
      </c>
      <c r="C18" s="35" t="s">
        <v>1467</v>
      </c>
      <c r="D18" s="38" t="s">
        <v>1468</v>
      </c>
      <c r="E18" s="38" t="s">
        <v>1444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2284</v>
      </c>
      <c r="P18" s="29"/>
      <c r="Q18" s="124"/>
      <c r="R18" s="29"/>
    </row>
    <row r="19" spans="1:18" ht="132.94999999999999" customHeight="1">
      <c r="A19" s="35" t="s">
        <v>1469</v>
      </c>
      <c r="B19" s="35" t="s">
        <v>1470</v>
      </c>
      <c r="C19" s="35" t="s">
        <v>1471</v>
      </c>
      <c r="D19" s="38" t="s">
        <v>1472</v>
      </c>
      <c r="E19" s="38" t="s">
        <v>1444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2285</v>
      </c>
      <c r="P19" s="1"/>
      <c r="Q19" s="36"/>
      <c r="R19" s="1"/>
    </row>
    <row r="20" spans="1:18" ht="132.94999999999999" customHeight="1">
      <c r="A20" s="35" t="s">
        <v>1473</v>
      </c>
      <c r="B20" s="35" t="s">
        <v>1474</v>
      </c>
      <c r="C20" s="35" t="s">
        <v>1475</v>
      </c>
      <c r="D20" s="38" t="s">
        <v>1476</v>
      </c>
      <c r="E20" s="38" t="s">
        <v>1444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2286</v>
      </c>
    </row>
    <row r="21" spans="1:18" ht="132.94999999999999" customHeight="1">
      <c r="A21" s="35" t="s">
        <v>1477</v>
      </c>
      <c r="B21" s="35" t="s">
        <v>1478</v>
      </c>
      <c r="C21" s="35" t="s">
        <v>1479</v>
      </c>
      <c r="D21" s="38" t="s">
        <v>1480</v>
      </c>
      <c r="E21" s="38" t="s">
        <v>1444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2287</v>
      </c>
    </row>
    <row r="22" spans="1:18" ht="132.94999999999999" customHeight="1">
      <c r="A22" s="35" t="s">
        <v>1481</v>
      </c>
      <c r="B22" s="35" t="s">
        <v>1482</v>
      </c>
      <c r="C22" s="35" t="s">
        <v>1483</v>
      </c>
      <c r="D22" s="38" t="s">
        <v>1484</v>
      </c>
      <c r="E22" s="38" t="s">
        <v>1444</v>
      </c>
      <c r="F22" s="35" t="s">
        <v>24</v>
      </c>
      <c r="G22" s="35"/>
      <c r="H22" s="35" t="s">
        <v>1957</v>
      </c>
      <c r="I22" s="35"/>
      <c r="J22" s="35"/>
      <c r="K22" s="35"/>
      <c r="L22" s="35"/>
      <c r="M22" s="35"/>
      <c r="N22" s="35"/>
      <c r="O22" s="35" t="s">
        <v>2288</v>
      </c>
    </row>
    <row r="23" spans="1:18" ht="132.94999999999999" customHeight="1">
      <c r="A23" s="35" t="s">
        <v>1485</v>
      </c>
      <c r="B23" s="35" t="s">
        <v>1486</v>
      </c>
      <c r="C23" s="35" t="s">
        <v>1487</v>
      </c>
      <c r="D23" s="38" t="s">
        <v>1488</v>
      </c>
      <c r="E23" s="38" t="s">
        <v>1444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2289</v>
      </c>
    </row>
    <row r="24" spans="1:18" ht="132.94999999999999" customHeight="1">
      <c r="A24" s="35" t="s">
        <v>1489</v>
      </c>
      <c r="B24" s="35" t="s">
        <v>1490</v>
      </c>
      <c r="C24" s="35" t="s">
        <v>1491</v>
      </c>
      <c r="D24" s="38" t="s">
        <v>1492</v>
      </c>
      <c r="E24" s="38" t="s">
        <v>1444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2290</v>
      </c>
    </row>
    <row r="25" spans="1:18" ht="132.94999999999999" customHeight="1">
      <c r="A25" s="35" t="s">
        <v>1493</v>
      </c>
      <c r="B25" s="35" t="s">
        <v>1494</v>
      </c>
      <c r="C25" s="35" t="s">
        <v>1495</v>
      </c>
      <c r="D25" s="38" t="s">
        <v>1496</v>
      </c>
      <c r="E25" s="38" t="s">
        <v>1444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2291</v>
      </c>
    </row>
    <row r="26" spans="1:18" ht="132.94999999999999" customHeight="1">
      <c r="A26" s="35" t="s">
        <v>1497</v>
      </c>
      <c r="B26" s="35" t="s">
        <v>1498</v>
      </c>
      <c r="C26" s="35" t="s">
        <v>1499</v>
      </c>
      <c r="D26" s="38" t="s">
        <v>1500</v>
      </c>
      <c r="E26" s="38" t="s">
        <v>1444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2292</v>
      </c>
    </row>
    <row r="27" spans="1:18" ht="132.94999999999999" customHeight="1">
      <c r="A27" s="35" t="s">
        <v>1501</v>
      </c>
      <c r="B27" s="35" t="s">
        <v>1502</v>
      </c>
      <c r="C27" s="35" t="s">
        <v>1503</v>
      </c>
      <c r="D27" s="38" t="s">
        <v>1504</v>
      </c>
      <c r="E27" s="38" t="s">
        <v>1444</v>
      </c>
      <c r="F27" s="35" t="s">
        <v>24</v>
      </c>
      <c r="G27" s="35"/>
      <c r="H27" s="35" t="s">
        <v>1957</v>
      </c>
      <c r="I27" s="35"/>
      <c r="J27" s="35"/>
      <c r="K27" s="35"/>
      <c r="L27" s="35"/>
      <c r="M27" s="35"/>
      <c r="N27" s="35"/>
      <c r="O27" s="35" t="s">
        <v>2293</v>
      </c>
    </row>
  </sheetData>
  <mergeCells count="3">
    <mergeCell ref="B2:E2"/>
    <mergeCell ref="B3:E3"/>
    <mergeCell ref="B4:E4"/>
  </mergeCells>
  <dataValidations count="1">
    <dataValidation type="list" sqref="F12:F27 L12:L27 I12:I27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3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83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86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48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48</v>
      </c>
      <c r="C6" s="114">
        <f>COUNTIF($F$12:$F$998,C$5)</f>
        <v>0</v>
      </c>
      <c r="D6" s="114">
        <f>COUNTIF($F$12:$F$998,D$5)</f>
        <v>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1505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32.94999999999999" customHeight="1">
      <c r="A12" s="35" t="s">
        <v>1506</v>
      </c>
      <c r="B12" s="35" t="s">
        <v>1507</v>
      </c>
      <c r="C12" s="35" t="s">
        <v>1508</v>
      </c>
      <c r="D12" s="38" t="s">
        <v>1509</v>
      </c>
      <c r="E12" s="38" t="s">
        <v>1510</v>
      </c>
      <c r="F12" s="35" t="s">
        <v>24</v>
      </c>
      <c r="G12" s="35"/>
      <c r="H12" s="35" t="s">
        <v>1957</v>
      </c>
      <c r="I12" s="35"/>
      <c r="J12" s="35"/>
      <c r="K12" s="35"/>
      <c r="L12" s="35"/>
      <c r="M12" s="35"/>
      <c r="N12" s="35"/>
      <c r="O12" s="35" t="s">
        <v>2294</v>
      </c>
      <c r="P12" s="37"/>
      <c r="Q12" s="36"/>
      <c r="R12" s="37"/>
    </row>
    <row r="13" spans="1:18" ht="132.94999999999999" customHeight="1">
      <c r="A13" s="35" t="s">
        <v>1511</v>
      </c>
      <c r="B13" s="35" t="s">
        <v>1512</v>
      </c>
      <c r="C13" s="35" t="s">
        <v>1513</v>
      </c>
      <c r="D13" s="38" t="s">
        <v>1514</v>
      </c>
      <c r="E13" s="38" t="s">
        <v>1510</v>
      </c>
      <c r="F13" s="35" t="s">
        <v>24</v>
      </c>
      <c r="G13" s="35"/>
      <c r="H13" s="35" t="s">
        <v>1957</v>
      </c>
      <c r="I13" s="35"/>
      <c r="J13" s="35"/>
      <c r="K13" s="35"/>
      <c r="L13" s="35"/>
      <c r="M13" s="35"/>
      <c r="N13" s="35"/>
      <c r="O13" s="35" t="s">
        <v>2295</v>
      </c>
      <c r="P13" s="1"/>
      <c r="Q13" s="36"/>
      <c r="R13" s="1"/>
    </row>
    <row r="14" spans="1:18" ht="132.94999999999999" customHeight="1">
      <c r="A14" s="35" t="s">
        <v>1515</v>
      </c>
      <c r="B14" s="35" t="s">
        <v>1516</v>
      </c>
      <c r="C14" s="35" t="s">
        <v>1517</v>
      </c>
      <c r="D14" s="38" t="s">
        <v>1518</v>
      </c>
      <c r="E14" s="38" t="s">
        <v>1510</v>
      </c>
      <c r="F14" s="35" t="s">
        <v>24</v>
      </c>
      <c r="G14" s="35"/>
      <c r="H14" s="35" t="s">
        <v>1957</v>
      </c>
      <c r="I14" s="35"/>
      <c r="J14" s="35"/>
      <c r="K14" s="35"/>
      <c r="L14" s="35"/>
      <c r="M14" s="35"/>
      <c r="N14" s="35"/>
      <c r="O14" s="35" t="s">
        <v>2296</v>
      </c>
      <c r="P14" s="1"/>
      <c r="Q14" s="36"/>
      <c r="R14" s="1"/>
    </row>
    <row r="15" spans="1:18" ht="132.94999999999999" customHeight="1">
      <c r="A15" s="35" t="s">
        <v>1519</v>
      </c>
      <c r="B15" s="35" t="s">
        <v>1520</v>
      </c>
      <c r="C15" s="35" t="s">
        <v>1521</v>
      </c>
      <c r="D15" s="38" t="s">
        <v>1522</v>
      </c>
      <c r="E15" s="38" t="s">
        <v>1510</v>
      </c>
      <c r="F15" s="35" t="s">
        <v>24</v>
      </c>
      <c r="G15" s="35"/>
      <c r="H15" s="35" t="s">
        <v>1957</v>
      </c>
      <c r="I15" s="35"/>
      <c r="J15" s="35"/>
      <c r="K15" s="35"/>
      <c r="L15" s="35"/>
      <c r="M15" s="35"/>
      <c r="N15" s="35"/>
      <c r="O15" s="35" t="s">
        <v>2297</v>
      </c>
      <c r="P15" s="29"/>
      <c r="Q15" s="124"/>
      <c r="R15" s="29"/>
    </row>
    <row r="16" spans="1:18" ht="120" customHeight="1">
      <c r="A16" s="35" t="s">
        <v>1523</v>
      </c>
      <c r="B16" s="35" t="s">
        <v>1524</v>
      </c>
      <c r="C16" s="35" t="s">
        <v>1525</v>
      </c>
      <c r="D16" s="38" t="s">
        <v>1526</v>
      </c>
      <c r="E16" s="38" t="s">
        <v>1510</v>
      </c>
      <c r="F16" s="35" t="s">
        <v>24</v>
      </c>
      <c r="G16" s="35"/>
      <c r="H16" s="35" t="s">
        <v>1957</v>
      </c>
      <c r="I16" s="35"/>
      <c r="J16" s="35"/>
      <c r="K16" s="35"/>
      <c r="L16" s="35"/>
      <c r="M16" s="35"/>
      <c r="N16" s="35"/>
      <c r="O16" s="35" t="s">
        <v>2298</v>
      </c>
      <c r="P16" s="1"/>
      <c r="Q16" s="36"/>
      <c r="R16" s="1"/>
    </row>
    <row r="17" spans="1:18" ht="132.94999999999999" customHeight="1">
      <c r="A17" s="35" t="s">
        <v>1527</v>
      </c>
      <c r="B17" s="35" t="s">
        <v>1528</v>
      </c>
      <c r="C17" s="35" t="s">
        <v>1529</v>
      </c>
      <c r="D17" s="38" t="s">
        <v>1530</v>
      </c>
      <c r="E17" s="38" t="s">
        <v>1510</v>
      </c>
      <c r="F17" s="35" t="s">
        <v>24</v>
      </c>
      <c r="G17" s="35"/>
      <c r="H17" s="35" t="s">
        <v>1957</v>
      </c>
      <c r="I17" s="35"/>
      <c r="J17" s="35"/>
      <c r="K17" s="35"/>
      <c r="L17" s="35"/>
      <c r="M17" s="35"/>
      <c r="N17" s="35"/>
      <c r="O17" s="35" t="s">
        <v>2299</v>
      </c>
      <c r="P17" s="1"/>
      <c r="Q17" s="27"/>
      <c r="R17" s="1"/>
    </row>
    <row r="18" spans="1:18" ht="132.94999999999999" customHeight="1">
      <c r="A18" s="35" t="s">
        <v>1531</v>
      </c>
      <c r="B18" s="35" t="s">
        <v>1532</v>
      </c>
      <c r="C18" s="35" t="s">
        <v>1533</v>
      </c>
      <c r="D18" s="38" t="s">
        <v>1534</v>
      </c>
      <c r="E18" s="38" t="s">
        <v>1510</v>
      </c>
      <c r="F18" s="35" t="s">
        <v>24</v>
      </c>
      <c r="G18" s="35"/>
      <c r="H18" s="35" t="s">
        <v>1957</v>
      </c>
      <c r="I18" s="35"/>
      <c r="J18" s="35"/>
      <c r="K18" s="35"/>
      <c r="L18" s="35"/>
      <c r="M18" s="35"/>
      <c r="N18" s="35"/>
      <c r="O18" s="35" t="s">
        <v>2300</v>
      </c>
      <c r="P18" s="29"/>
      <c r="Q18" s="124"/>
      <c r="R18" s="29"/>
    </row>
    <row r="19" spans="1:18" ht="132.94999999999999" customHeight="1">
      <c r="A19" s="35" t="s">
        <v>1535</v>
      </c>
      <c r="B19" s="35" t="s">
        <v>1536</v>
      </c>
      <c r="C19" s="35" t="s">
        <v>1537</v>
      </c>
      <c r="D19" s="38" t="s">
        <v>1538</v>
      </c>
      <c r="E19" s="38" t="s">
        <v>1510</v>
      </c>
      <c r="F19" s="35" t="s">
        <v>24</v>
      </c>
      <c r="G19" s="35"/>
      <c r="H19" s="35" t="s">
        <v>1957</v>
      </c>
      <c r="I19" s="35"/>
      <c r="J19" s="35"/>
      <c r="K19" s="35"/>
      <c r="L19" s="35"/>
      <c r="M19" s="35"/>
      <c r="N19" s="35"/>
      <c r="O19" s="35" t="s">
        <v>2301</v>
      </c>
      <c r="P19" s="1"/>
      <c r="Q19" s="36"/>
      <c r="R19" s="1"/>
    </row>
    <row r="20" spans="1:18" ht="132.94999999999999" customHeight="1">
      <c r="A20" s="35" t="s">
        <v>1539</v>
      </c>
      <c r="B20" s="35" t="s">
        <v>1540</v>
      </c>
      <c r="C20" s="35" t="s">
        <v>1541</v>
      </c>
      <c r="D20" s="38" t="s">
        <v>1542</v>
      </c>
      <c r="E20" s="38" t="s">
        <v>1510</v>
      </c>
      <c r="F20" s="35" t="s">
        <v>24</v>
      </c>
      <c r="G20" s="35"/>
      <c r="H20" s="35" t="s">
        <v>1957</v>
      </c>
      <c r="I20" s="35"/>
      <c r="J20" s="35"/>
      <c r="K20" s="35"/>
      <c r="L20" s="35"/>
      <c r="M20" s="35"/>
      <c r="N20" s="35"/>
      <c r="O20" s="35" t="s">
        <v>2302</v>
      </c>
    </row>
    <row r="21" spans="1:18" ht="132.94999999999999" customHeight="1">
      <c r="A21" s="35" t="s">
        <v>1543</v>
      </c>
      <c r="B21" s="35" t="s">
        <v>1544</v>
      </c>
      <c r="C21" s="35" t="s">
        <v>1545</v>
      </c>
      <c r="D21" s="38" t="s">
        <v>1546</v>
      </c>
      <c r="E21" s="38" t="s">
        <v>1510</v>
      </c>
      <c r="F21" s="35" t="s">
        <v>24</v>
      </c>
      <c r="G21" s="35"/>
      <c r="H21" s="35" t="s">
        <v>1957</v>
      </c>
      <c r="I21" s="35"/>
      <c r="J21" s="35"/>
      <c r="K21" s="35"/>
      <c r="L21" s="35"/>
      <c r="M21" s="35"/>
      <c r="N21" s="35"/>
      <c r="O21" s="35" t="s">
        <v>2303</v>
      </c>
    </row>
    <row r="22" spans="1:18" ht="27" customHeight="1">
      <c r="A22" s="121" t="s">
        <v>1547</v>
      </c>
      <c r="B22" s="121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3"/>
    </row>
    <row r="23" spans="1:18" ht="120" customHeight="1">
      <c r="A23" s="35" t="s">
        <v>1548</v>
      </c>
      <c r="B23" s="35" t="s">
        <v>1549</v>
      </c>
      <c r="C23" s="35" t="s">
        <v>1550</v>
      </c>
      <c r="D23" s="38" t="s">
        <v>1551</v>
      </c>
      <c r="E23" s="38" t="s">
        <v>1510</v>
      </c>
      <c r="F23" s="35" t="s">
        <v>24</v>
      </c>
      <c r="G23" s="35"/>
      <c r="H23" s="35" t="s">
        <v>1957</v>
      </c>
      <c r="I23" s="35"/>
      <c r="J23" s="35"/>
      <c r="K23" s="35"/>
      <c r="L23" s="35"/>
      <c r="M23" s="35"/>
      <c r="N23" s="35"/>
      <c r="O23" s="35" t="s">
        <v>2304</v>
      </c>
    </row>
    <row r="24" spans="1:18" ht="132.94999999999999" customHeight="1">
      <c r="A24" s="35" t="s">
        <v>1552</v>
      </c>
      <c r="B24" s="35" t="s">
        <v>1553</v>
      </c>
      <c r="C24" s="35" t="s">
        <v>1554</v>
      </c>
      <c r="D24" s="38" t="s">
        <v>1555</v>
      </c>
      <c r="E24" s="38" t="s">
        <v>1510</v>
      </c>
      <c r="F24" s="35" t="s">
        <v>24</v>
      </c>
      <c r="G24" s="35"/>
      <c r="H24" s="35" t="s">
        <v>1957</v>
      </c>
      <c r="I24" s="35"/>
      <c r="J24" s="35"/>
      <c r="K24" s="35"/>
      <c r="L24" s="35"/>
      <c r="M24" s="35"/>
      <c r="N24" s="35"/>
      <c r="O24" s="35" t="s">
        <v>2305</v>
      </c>
    </row>
    <row r="25" spans="1:18" ht="146.1" customHeight="1">
      <c r="A25" s="35" t="s">
        <v>1556</v>
      </c>
      <c r="B25" s="35" t="s">
        <v>1557</v>
      </c>
      <c r="C25" s="35" t="s">
        <v>1558</v>
      </c>
      <c r="D25" s="38" t="s">
        <v>1559</v>
      </c>
      <c r="E25" s="38" t="s">
        <v>1510</v>
      </c>
      <c r="F25" s="35" t="s">
        <v>24</v>
      </c>
      <c r="G25" s="35"/>
      <c r="H25" s="35" t="s">
        <v>1957</v>
      </c>
      <c r="I25" s="35"/>
      <c r="J25" s="35"/>
      <c r="K25" s="35"/>
      <c r="L25" s="35"/>
      <c r="M25" s="35"/>
      <c r="N25" s="35"/>
      <c r="O25" s="35" t="s">
        <v>2306</v>
      </c>
    </row>
    <row r="26" spans="1:18" ht="146.1" customHeight="1">
      <c r="A26" s="35" t="s">
        <v>1560</v>
      </c>
      <c r="B26" s="35" t="s">
        <v>1561</v>
      </c>
      <c r="C26" s="35" t="s">
        <v>1562</v>
      </c>
      <c r="D26" s="38" t="s">
        <v>1563</v>
      </c>
      <c r="E26" s="38" t="s">
        <v>1510</v>
      </c>
      <c r="F26" s="35" t="s">
        <v>24</v>
      </c>
      <c r="G26" s="35"/>
      <c r="H26" s="35" t="s">
        <v>1957</v>
      </c>
      <c r="I26" s="35"/>
      <c r="J26" s="35"/>
      <c r="K26" s="35"/>
      <c r="L26" s="35"/>
      <c r="M26" s="35"/>
      <c r="N26" s="35"/>
      <c r="O26" s="35" t="s">
        <v>2307</v>
      </c>
    </row>
    <row r="27" spans="1:18" ht="27" customHeight="1">
      <c r="A27" s="121" t="s">
        <v>1564</v>
      </c>
      <c r="B27" s="121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3"/>
    </row>
    <row r="28" spans="1:18" ht="120" customHeight="1">
      <c r="A28" s="35" t="s">
        <v>1565</v>
      </c>
      <c r="B28" s="35" t="s">
        <v>1566</v>
      </c>
      <c r="C28" s="35" t="s">
        <v>1567</v>
      </c>
      <c r="D28" s="38" t="s">
        <v>1568</v>
      </c>
      <c r="E28" s="38" t="s">
        <v>1510</v>
      </c>
      <c r="F28" s="35" t="s">
        <v>24</v>
      </c>
      <c r="G28" s="35"/>
      <c r="H28" s="35" t="s">
        <v>1957</v>
      </c>
      <c r="I28" s="35"/>
      <c r="J28" s="35"/>
      <c r="K28" s="35"/>
      <c r="L28" s="35"/>
      <c r="M28" s="35"/>
      <c r="N28" s="35"/>
      <c r="O28" s="35" t="s">
        <v>2308</v>
      </c>
    </row>
    <row r="29" spans="1:18" ht="132.94999999999999" customHeight="1">
      <c r="A29" s="35" t="s">
        <v>1569</v>
      </c>
      <c r="B29" s="35" t="s">
        <v>1570</v>
      </c>
      <c r="C29" s="35" t="s">
        <v>1571</v>
      </c>
      <c r="D29" s="38" t="s">
        <v>1572</v>
      </c>
      <c r="E29" s="38" t="s">
        <v>1510</v>
      </c>
      <c r="F29" s="35" t="s">
        <v>24</v>
      </c>
      <c r="G29" s="35"/>
      <c r="H29" s="35" t="s">
        <v>1957</v>
      </c>
      <c r="I29" s="35"/>
      <c r="J29" s="35"/>
      <c r="K29" s="35"/>
      <c r="L29" s="35"/>
      <c r="M29" s="35"/>
      <c r="N29" s="35"/>
      <c r="O29" s="35" t="s">
        <v>2309</v>
      </c>
    </row>
    <row r="30" spans="1:18" ht="132.94999999999999" customHeight="1">
      <c r="A30" s="35" t="s">
        <v>1573</v>
      </c>
      <c r="B30" s="35" t="s">
        <v>1574</v>
      </c>
      <c r="C30" s="35" t="s">
        <v>1575</v>
      </c>
      <c r="D30" s="38" t="s">
        <v>1576</v>
      </c>
      <c r="E30" s="38" t="s">
        <v>1510</v>
      </c>
      <c r="F30" s="35" t="s">
        <v>24</v>
      </c>
      <c r="G30" s="35"/>
      <c r="H30" s="35" t="s">
        <v>1957</v>
      </c>
      <c r="I30" s="35"/>
      <c r="J30" s="35"/>
      <c r="K30" s="35"/>
      <c r="L30" s="35"/>
      <c r="M30" s="35"/>
      <c r="N30" s="35"/>
      <c r="O30" s="35" t="s">
        <v>2310</v>
      </c>
    </row>
    <row r="31" spans="1:18" ht="132.94999999999999" customHeight="1">
      <c r="A31" s="35" t="s">
        <v>1577</v>
      </c>
      <c r="B31" s="35" t="s">
        <v>1578</v>
      </c>
      <c r="C31" s="35" t="s">
        <v>1579</v>
      </c>
      <c r="D31" s="38" t="s">
        <v>1580</v>
      </c>
      <c r="E31" s="38" t="s">
        <v>1510</v>
      </c>
      <c r="F31" s="35" t="s">
        <v>24</v>
      </c>
      <c r="G31" s="35"/>
      <c r="H31" s="35" t="s">
        <v>1957</v>
      </c>
      <c r="I31" s="35"/>
      <c r="J31" s="35"/>
      <c r="K31" s="35"/>
      <c r="L31" s="35"/>
      <c r="M31" s="35"/>
      <c r="N31" s="35"/>
      <c r="O31" s="35" t="s">
        <v>2311</v>
      </c>
    </row>
    <row r="32" spans="1:18" ht="132.94999999999999" customHeight="1">
      <c r="A32" s="35" t="s">
        <v>1581</v>
      </c>
      <c r="B32" s="35" t="s">
        <v>1582</v>
      </c>
      <c r="C32" s="35" t="s">
        <v>1583</v>
      </c>
      <c r="D32" s="38" t="s">
        <v>1584</v>
      </c>
      <c r="E32" s="38" t="s">
        <v>1510</v>
      </c>
      <c r="F32" s="35" t="s">
        <v>24</v>
      </c>
      <c r="G32" s="35"/>
      <c r="H32" s="35" t="s">
        <v>1957</v>
      </c>
      <c r="I32" s="35"/>
      <c r="J32" s="35"/>
      <c r="K32" s="35"/>
      <c r="L32" s="35"/>
      <c r="M32" s="35"/>
      <c r="N32" s="35"/>
      <c r="O32" s="35" t="s">
        <v>2312</v>
      </c>
    </row>
    <row r="33" spans="1:15" ht="120" customHeight="1">
      <c r="A33" s="35" t="s">
        <v>1585</v>
      </c>
      <c r="B33" s="35" t="s">
        <v>1586</v>
      </c>
      <c r="C33" s="35" t="s">
        <v>1587</v>
      </c>
      <c r="D33" s="38" t="s">
        <v>1588</v>
      </c>
      <c r="E33" s="38" t="s">
        <v>1510</v>
      </c>
      <c r="F33" s="35" t="s">
        <v>24</v>
      </c>
      <c r="G33" s="35"/>
      <c r="H33" s="35" t="s">
        <v>1957</v>
      </c>
      <c r="I33" s="35"/>
      <c r="J33" s="35"/>
      <c r="K33" s="35"/>
      <c r="L33" s="35"/>
      <c r="M33" s="35"/>
      <c r="N33" s="35"/>
      <c r="O33" s="35" t="s">
        <v>2313</v>
      </c>
    </row>
    <row r="34" spans="1:15" ht="132.94999999999999" customHeight="1">
      <c r="A34" s="35" t="s">
        <v>1589</v>
      </c>
      <c r="B34" s="35" t="s">
        <v>1590</v>
      </c>
      <c r="C34" s="35" t="s">
        <v>1591</v>
      </c>
      <c r="D34" s="38" t="s">
        <v>1592</v>
      </c>
      <c r="E34" s="38" t="s">
        <v>1510</v>
      </c>
      <c r="F34" s="35" t="s">
        <v>24</v>
      </c>
      <c r="G34" s="35"/>
      <c r="H34" s="35" t="s">
        <v>1957</v>
      </c>
      <c r="I34" s="35"/>
      <c r="J34" s="35"/>
      <c r="K34" s="35"/>
      <c r="L34" s="35"/>
      <c r="M34" s="35"/>
      <c r="N34" s="35"/>
      <c r="O34" s="35" t="s">
        <v>2314</v>
      </c>
    </row>
    <row r="35" spans="1:15" ht="132.94999999999999" customHeight="1">
      <c r="A35" s="35" t="s">
        <v>1593</v>
      </c>
      <c r="B35" s="35" t="s">
        <v>1594</v>
      </c>
      <c r="C35" s="35" t="s">
        <v>1595</v>
      </c>
      <c r="D35" s="38" t="s">
        <v>1596</v>
      </c>
      <c r="E35" s="38" t="s">
        <v>1510</v>
      </c>
      <c r="F35" s="35" t="s">
        <v>24</v>
      </c>
      <c r="G35" s="35"/>
      <c r="H35" s="35" t="s">
        <v>1957</v>
      </c>
      <c r="I35" s="35"/>
      <c r="J35" s="35"/>
      <c r="K35" s="35"/>
      <c r="L35" s="35"/>
      <c r="M35" s="35"/>
      <c r="N35" s="35"/>
      <c r="O35" s="35" t="s">
        <v>2315</v>
      </c>
    </row>
    <row r="36" spans="1:15" ht="132.94999999999999" customHeight="1">
      <c r="A36" s="35" t="s">
        <v>1597</v>
      </c>
      <c r="B36" s="35" t="s">
        <v>1598</v>
      </c>
      <c r="C36" s="35" t="s">
        <v>1599</v>
      </c>
      <c r="D36" s="38" t="s">
        <v>1600</v>
      </c>
      <c r="E36" s="38" t="s">
        <v>1510</v>
      </c>
      <c r="F36" s="35" t="s">
        <v>24</v>
      </c>
      <c r="G36" s="35"/>
      <c r="H36" s="35" t="s">
        <v>1957</v>
      </c>
      <c r="I36" s="35"/>
      <c r="J36" s="35"/>
      <c r="K36" s="35"/>
      <c r="L36" s="35"/>
      <c r="M36" s="35"/>
      <c r="N36" s="35"/>
      <c r="O36" s="35" t="s">
        <v>2316</v>
      </c>
    </row>
    <row r="37" spans="1:15" ht="146.1" customHeight="1">
      <c r="A37" s="35" t="s">
        <v>1601</v>
      </c>
      <c r="B37" s="35" t="s">
        <v>1602</v>
      </c>
      <c r="C37" s="35" t="s">
        <v>1603</v>
      </c>
      <c r="D37" s="38" t="s">
        <v>1604</v>
      </c>
      <c r="E37" s="38" t="s">
        <v>1510</v>
      </c>
      <c r="F37" s="35" t="s">
        <v>24</v>
      </c>
      <c r="G37" s="35"/>
      <c r="H37" s="35" t="s">
        <v>1957</v>
      </c>
      <c r="I37" s="35"/>
      <c r="J37" s="35"/>
      <c r="K37" s="35"/>
      <c r="L37" s="35"/>
      <c r="M37" s="35"/>
      <c r="N37" s="35"/>
      <c r="O37" s="35" t="s">
        <v>2317</v>
      </c>
    </row>
    <row r="38" spans="1:15" ht="146.1" customHeight="1">
      <c r="A38" s="35" t="s">
        <v>1605</v>
      </c>
      <c r="B38" s="35" t="s">
        <v>1606</v>
      </c>
      <c r="C38" s="35" t="s">
        <v>1607</v>
      </c>
      <c r="D38" s="38" t="s">
        <v>1608</v>
      </c>
      <c r="E38" s="38" t="s">
        <v>1510</v>
      </c>
      <c r="F38" s="35" t="s">
        <v>24</v>
      </c>
      <c r="G38" s="35"/>
      <c r="H38" s="35" t="s">
        <v>1957</v>
      </c>
      <c r="I38" s="35"/>
      <c r="J38" s="35"/>
      <c r="K38" s="35"/>
      <c r="L38" s="35"/>
      <c r="M38" s="35"/>
      <c r="N38" s="35"/>
      <c r="O38" s="35" t="s">
        <v>2318</v>
      </c>
    </row>
    <row r="39" spans="1:15" ht="132.94999999999999" customHeight="1">
      <c r="A39" s="35" t="s">
        <v>1609</v>
      </c>
      <c r="B39" s="35" t="s">
        <v>1610</v>
      </c>
      <c r="C39" s="35" t="s">
        <v>1611</v>
      </c>
      <c r="D39" s="38" t="s">
        <v>1612</v>
      </c>
      <c r="E39" s="38" t="s">
        <v>1510</v>
      </c>
      <c r="F39" s="35" t="s">
        <v>24</v>
      </c>
      <c r="G39" s="35"/>
      <c r="H39" s="35" t="s">
        <v>1957</v>
      </c>
      <c r="I39" s="35"/>
      <c r="J39" s="35"/>
      <c r="K39" s="35"/>
      <c r="L39" s="35"/>
      <c r="M39" s="35"/>
      <c r="N39" s="35"/>
      <c r="O39" s="35" t="s">
        <v>2319</v>
      </c>
    </row>
    <row r="40" spans="1:15" ht="132.94999999999999" customHeight="1">
      <c r="A40" s="35" t="s">
        <v>1613</v>
      </c>
      <c r="B40" s="35" t="s">
        <v>1614</v>
      </c>
      <c r="C40" s="35" t="s">
        <v>1615</v>
      </c>
      <c r="D40" s="38" t="s">
        <v>1616</v>
      </c>
      <c r="E40" s="38" t="s">
        <v>1510</v>
      </c>
      <c r="F40" s="35" t="s">
        <v>24</v>
      </c>
      <c r="G40" s="35"/>
      <c r="H40" s="35" t="s">
        <v>1957</v>
      </c>
      <c r="I40" s="35"/>
      <c r="J40" s="35"/>
      <c r="K40" s="35"/>
      <c r="L40" s="35"/>
      <c r="M40" s="35"/>
      <c r="N40" s="35"/>
      <c r="O40" s="35" t="s">
        <v>2320</v>
      </c>
    </row>
    <row r="41" spans="1:15" ht="146.1" customHeight="1">
      <c r="A41" s="35" t="s">
        <v>1617</v>
      </c>
      <c r="B41" s="35" t="s">
        <v>1618</v>
      </c>
      <c r="C41" s="35" t="s">
        <v>1619</v>
      </c>
      <c r="D41" s="38" t="s">
        <v>1620</v>
      </c>
      <c r="E41" s="38" t="s">
        <v>1510</v>
      </c>
      <c r="F41" s="35" t="s">
        <v>24</v>
      </c>
      <c r="G41" s="35"/>
      <c r="H41" s="35" t="s">
        <v>1957</v>
      </c>
      <c r="I41" s="35"/>
      <c r="J41" s="35"/>
      <c r="K41" s="35"/>
      <c r="L41" s="35"/>
      <c r="M41" s="35"/>
      <c r="N41" s="35"/>
      <c r="O41" s="35" t="s">
        <v>2321</v>
      </c>
    </row>
    <row r="42" spans="1:15" ht="27" customHeight="1">
      <c r="A42" s="121" t="s">
        <v>1621</v>
      </c>
      <c r="B42" s="121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3"/>
    </row>
    <row r="43" spans="1:15" ht="120" customHeight="1">
      <c r="A43" s="35" t="s">
        <v>1622</v>
      </c>
      <c r="B43" s="35" t="s">
        <v>1623</v>
      </c>
      <c r="C43" s="35" t="s">
        <v>1624</v>
      </c>
      <c r="D43" s="38" t="s">
        <v>1625</v>
      </c>
      <c r="E43" s="38" t="s">
        <v>1510</v>
      </c>
      <c r="F43" s="35" t="s">
        <v>24</v>
      </c>
      <c r="G43" s="35"/>
      <c r="H43" s="35" t="s">
        <v>1957</v>
      </c>
      <c r="I43" s="35"/>
      <c r="J43" s="35"/>
      <c r="K43" s="35"/>
      <c r="L43" s="35"/>
      <c r="M43" s="35"/>
      <c r="N43" s="35"/>
      <c r="O43" s="35" t="s">
        <v>2322</v>
      </c>
    </row>
    <row r="44" spans="1:15" ht="132.94999999999999" customHeight="1">
      <c r="A44" s="35" t="s">
        <v>1626</v>
      </c>
      <c r="B44" s="35" t="s">
        <v>1627</v>
      </c>
      <c r="C44" s="35" t="s">
        <v>1628</v>
      </c>
      <c r="D44" s="38" t="s">
        <v>1629</v>
      </c>
      <c r="E44" s="38" t="s">
        <v>1510</v>
      </c>
      <c r="F44" s="35" t="s">
        <v>24</v>
      </c>
      <c r="G44" s="35"/>
      <c r="H44" s="35" t="s">
        <v>1957</v>
      </c>
      <c r="I44" s="35"/>
      <c r="J44" s="35"/>
      <c r="K44" s="35"/>
      <c r="L44" s="35"/>
      <c r="M44" s="35"/>
      <c r="N44" s="35"/>
      <c r="O44" s="35" t="s">
        <v>2323</v>
      </c>
    </row>
    <row r="45" spans="1:15" ht="132.94999999999999" customHeight="1">
      <c r="A45" s="35" t="s">
        <v>1630</v>
      </c>
      <c r="B45" s="35" t="s">
        <v>1631</v>
      </c>
      <c r="C45" s="35" t="s">
        <v>1632</v>
      </c>
      <c r="D45" s="38" t="s">
        <v>1633</v>
      </c>
      <c r="E45" s="38" t="s">
        <v>1510</v>
      </c>
      <c r="F45" s="35" t="s">
        <v>24</v>
      </c>
      <c r="G45" s="35"/>
      <c r="H45" s="35" t="s">
        <v>1957</v>
      </c>
      <c r="I45" s="35"/>
      <c r="J45" s="35"/>
      <c r="K45" s="35"/>
      <c r="L45" s="35"/>
      <c r="M45" s="35"/>
      <c r="N45" s="35"/>
      <c r="O45" s="35" t="s">
        <v>2324</v>
      </c>
    </row>
    <row r="46" spans="1:15" ht="132.94999999999999" customHeight="1">
      <c r="A46" s="35" t="s">
        <v>1634</v>
      </c>
      <c r="B46" s="35" t="s">
        <v>1635</v>
      </c>
      <c r="C46" s="35" t="s">
        <v>1636</v>
      </c>
      <c r="D46" s="38" t="s">
        <v>1637</v>
      </c>
      <c r="E46" s="38" t="s">
        <v>1510</v>
      </c>
      <c r="F46" s="35" t="s">
        <v>24</v>
      </c>
      <c r="G46" s="35"/>
      <c r="H46" s="35" t="s">
        <v>1957</v>
      </c>
      <c r="I46" s="35"/>
      <c r="J46" s="35"/>
      <c r="K46" s="35"/>
      <c r="L46" s="35"/>
      <c r="M46" s="35"/>
      <c r="N46" s="35"/>
      <c r="O46" s="35" t="s">
        <v>2325</v>
      </c>
    </row>
    <row r="47" spans="1:15" ht="120" customHeight="1">
      <c r="A47" s="35" t="s">
        <v>1638</v>
      </c>
      <c r="B47" s="35" t="s">
        <v>1639</v>
      </c>
      <c r="C47" s="35" t="s">
        <v>1640</v>
      </c>
      <c r="D47" s="38" t="s">
        <v>1641</v>
      </c>
      <c r="E47" s="38" t="s">
        <v>1510</v>
      </c>
      <c r="F47" s="35" t="s">
        <v>24</v>
      </c>
      <c r="G47" s="35"/>
      <c r="H47" s="35" t="s">
        <v>1957</v>
      </c>
      <c r="I47" s="35"/>
      <c r="J47" s="35"/>
      <c r="K47" s="35"/>
      <c r="L47" s="35"/>
      <c r="M47" s="35"/>
      <c r="N47" s="35"/>
      <c r="O47" s="35" t="s">
        <v>2326</v>
      </c>
    </row>
    <row r="48" spans="1:15" ht="132.94999999999999" customHeight="1">
      <c r="A48" s="35" t="s">
        <v>1642</v>
      </c>
      <c r="B48" s="35" t="s">
        <v>1643</v>
      </c>
      <c r="C48" s="35" t="s">
        <v>1644</v>
      </c>
      <c r="D48" s="38" t="s">
        <v>1645</v>
      </c>
      <c r="E48" s="38" t="s">
        <v>1510</v>
      </c>
      <c r="F48" s="35" t="s">
        <v>24</v>
      </c>
      <c r="G48" s="35"/>
      <c r="H48" s="35" t="s">
        <v>1957</v>
      </c>
      <c r="I48" s="35"/>
      <c r="J48" s="35"/>
      <c r="K48" s="35"/>
      <c r="L48" s="35"/>
      <c r="M48" s="35"/>
      <c r="N48" s="35"/>
      <c r="O48" s="35" t="s">
        <v>2327</v>
      </c>
    </row>
    <row r="49" spans="1:15" ht="132.94999999999999" customHeight="1">
      <c r="A49" s="35" t="s">
        <v>1646</v>
      </c>
      <c r="B49" s="35" t="s">
        <v>1647</v>
      </c>
      <c r="C49" s="35" t="s">
        <v>1648</v>
      </c>
      <c r="D49" s="38" t="s">
        <v>1649</v>
      </c>
      <c r="E49" s="38" t="s">
        <v>1510</v>
      </c>
      <c r="F49" s="35" t="s">
        <v>24</v>
      </c>
      <c r="G49" s="35"/>
      <c r="H49" s="35" t="s">
        <v>1957</v>
      </c>
      <c r="I49" s="35"/>
      <c r="J49" s="35"/>
      <c r="K49" s="35"/>
      <c r="L49" s="35"/>
      <c r="M49" s="35"/>
      <c r="N49" s="35"/>
      <c r="O49" s="35" t="s">
        <v>2328</v>
      </c>
    </row>
    <row r="50" spans="1:15" ht="132.94999999999999" customHeight="1">
      <c r="A50" s="35" t="s">
        <v>1650</v>
      </c>
      <c r="B50" s="35" t="s">
        <v>1651</v>
      </c>
      <c r="C50" s="35" t="s">
        <v>1652</v>
      </c>
      <c r="D50" s="38" t="s">
        <v>1653</v>
      </c>
      <c r="E50" s="38" t="s">
        <v>1510</v>
      </c>
      <c r="F50" s="35" t="s">
        <v>24</v>
      </c>
      <c r="G50" s="35"/>
      <c r="H50" s="35" t="s">
        <v>1957</v>
      </c>
      <c r="I50" s="35"/>
      <c r="J50" s="35"/>
      <c r="K50" s="35"/>
      <c r="L50" s="35"/>
      <c r="M50" s="35"/>
      <c r="N50" s="35"/>
      <c r="O50" s="35" t="s">
        <v>2329</v>
      </c>
    </row>
    <row r="51" spans="1:15" ht="132.94999999999999" customHeight="1">
      <c r="A51" s="35" t="s">
        <v>1654</v>
      </c>
      <c r="B51" s="35" t="s">
        <v>1655</v>
      </c>
      <c r="C51" s="35" t="s">
        <v>1656</v>
      </c>
      <c r="D51" s="38" t="s">
        <v>1657</v>
      </c>
      <c r="E51" s="38" t="s">
        <v>1510</v>
      </c>
      <c r="F51" s="35" t="s">
        <v>24</v>
      </c>
      <c r="G51" s="35"/>
      <c r="H51" s="35" t="s">
        <v>1957</v>
      </c>
      <c r="I51" s="35"/>
      <c r="J51" s="35"/>
      <c r="K51" s="35"/>
      <c r="L51" s="35"/>
      <c r="M51" s="35"/>
      <c r="N51" s="35"/>
      <c r="O51" s="35" t="s">
        <v>2330</v>
      </c>
    </row>
    <row r="52" spans="1:15" ht="146.1" customHeight="1">
      <c r="A52" s="35" t="s">
        <v>1658</v>
      </c>
      <c r="B52" s="35" t="s">
        <v>1659</v>
      </c>
      <c r="C52" s="35" t="s">
        <v>1660</v>
      </c>
      <c r="D52" s="38" t="s">
        <v>1661</v>
      </c>
      <c r="E52" s="38" t="s">
        <v>1510</v>
      </c>
      <c r="F52" s="35" t="s">
        <v>24</v>
      </c>
      <c r="G52" s="35"/>
      <c r="H52" s="35" t="s">
        <v>1957</v>
      </c>
      <c r="I52" s="35"/>
      <c r="J52" s="35"/>
      <c r="K52" s="35"/>
      <c r="L52" s="35"/>
      <c r="M52" s="35"/>
      <c r="N52" s="35"/>
      <c r="O52" s="35" t="s">
        <v>2331</v>
      </c>
    </row>
    <row r="53" spans="1:15" ht="132.94999999999999" customHeight="1">
      <c r="A53" s="35" t="s">
        <v>1662</v>
      </c>
      <c r="B53" s="35" t="s">
        <v>1663</v>
      </c>
      <c r="C53" s="35" t="s">
        <v>1664</v>
      </c>
      <c r="D53" s="38" t="s">
        <v>1665</v>
      </c>
      <c r="E53" s="38" t="s">
        <v>1510</v>
      </c>
      <c r="F53" s="35" t="s">
        <v>24</v>
      </c>
      <c r="G53" s="35"/>
      <c r="H53" s="35" t="s">
        <v>1957</v>
      </c>
      <c r="I53" s="35"/>
      <c r="J53" s="35"/>
      <c r="K53" s="35"/>
      <c r="L53" s="35"/>
      <c r="M53" s="35"/>
      <c r="N53" s="35"/>
      <c r="O53" s="35" t="s">
        <v>2332</v>
      </c>
    </row>
    <row r="54" spans="1:15" ht="132.94999999999999" customHeight="1">
      <c r="A54" s="35" t="s">
        <v>1666</v>
      </c>
      <c r="B54" s="35" t="s">
        <v>1667</v>
      </c>
      <c r="C54" s="35" t="s">
        <v>1668</v>
      </c>
      <c r="D54" s="38" t="s">
        <v>1669</v>
      </c>
      <c r="E54" s="38" t="s">
        <v>1510</v>
      </c>
      <c r="F54" s="35" t="s">
        <v>24</v>
      </c>
      <c r="G54" s="35"/>
      <c r="H54" s="35" t="s">
        <v>1957</v>
      </c>
      <c r="I54" s="35"/>
      <c r="J54" s="35"/>
      <c r="K54" s="35"/>
      <c r="L54" s="35"/>
      <c r="M54" s="35"/>
      <c r="N54" s="35"/>
      <c r="O54" s="35" t="s">
        <v>2333</v>
      </c>
    </row>
    <row r="55" spans="1:15" ht="132.94999999999999" customHeight="1">
      <c r="A55" s="35" t="s">
        <v>1670</v>
      </c>
      <c r="B55" s="35" t="s">
        <v>1671</v>
      </c>
      <c r="C55" s="35" t="s">
        <v>1672</v>
      </c>
      <c r="D55" s="38" t="s">
        <v>1673</v>
      </c>
      <c r="E55" s="38" t="s">
        <v>1510</v>
      </c>
      <c r="F55" s="35" t="s">
        <v>24</v>
      </c>
      <c r="G55" s="35"/>
      <c r="H55" s="35" t="s">
        <v>1957</v>
      </c>
      <c r="I55" s="35"/>
      <c r="J55" s="35"/>
      <c r="K55" s="35"/>
      <c r="L55" s="35"/>
      <c r="M55" s="35"/>
      <c r="N55" s="35"/>
      <c r="O55" s="35" t="s">
        <v>2334</v>
      </c>
    </row>
    <row r="56" spans="1:15" ht="132.94999999999999" customHeight="1">
      <c r="A56" s="35" t="s">
        <v>1674</v>
      </c>
      <c r="B56" s="35" t="s">
        <v>1675</v>
      </c>
      <c r="C56" s="35" t="s">
        <v>1676</v>
      </c>
      <c r="D56" s="38" t="s">
        <v>1677</v>
      </c>
      <c r="E56" s="38" t="s">
        <v>1510</v>
      </c>
      <c r="F56" s="35" t="s">
        <v>24</v>
      </c>
      <c r="G56" s="35"/>
      <c r="H56" s="35" t="s">
        <v>1957</v>
      </c>
      <c r="I56" s="35"/>
      <c r="J56" s="35"/>
      <c r="K56" s="35"/>
      <c r="L56" s="35"/>
      <c r="M56" s="35"/>
      <c r="N56" s="35"/>
      <c r="O56" s="35" t="s">
        <v>2335</v>
      </c>
    </row>
    <row r="57" spans="1:15" ht="27" customHeight="1">
      <c r="A57" s="121" t="s">
        <v>1678</v>
      </c>
      <c r="B57" s="121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3"/>
    </row>
    <row r="58" spans="1:15" ht="132.94999999999999" customHeight="1">
      <c r="A58" s="35" t="s">
        <v>1679</v>
      </c>
      <c r="B58" s="35" t="s">
        <v>1680</v>
      </c>
      <c r="C58" s="35" t="s">
        <v>1681</v>
      </c>
      <c r="D58" s="38" t="s">
        <v>1682</v>
      </c>
      <c r="E58" s="38" t="s">
        <v>1510</v>
      </c>
      <c r="F58" s="35" t="s">
        <v>24</v>
      </c>
      <c r="G58" s="35"/>
      <c r="H58" s="35" t="s">
        <v>1957</v>
      </c>
      <c r="I58" s="35"/>
      <c r="J58" s="35"/>
      <c r="K58" s="35"/>
      <c r="L58" s="35"/>
      <c r="M58" s="35"/>
      <c r="N58" s="35"/>
      <c r="O58" s="35" t="s">
        <v>2336</v>
      </c>
    </row>
    <row r="59" spans="1:15" ht="132.94999999999999" customHeight="1">
      <c r="A59" s="35" t="s">
        <v>1683</v>
      </c>
      <c r="B59" s="35" t="s">
        <v>1684</v>
      </c>
      <c r="C59" s="35" t="s">
        <v>1685</v>
      </c>
      <c r="D59" s="38" t="s">
        <v>1686</v>
      </c>
      <c r="E59" s="38" t="s">
        <v>1510</v>
      </c>
      <c r="F59" s="35" t="s">
        <v>24</v>
      </c>
      <c r="G59" s="35"/>
      <c r="H59" s="35" t="s">
        <v>1957</v>
      </c>
      <c r="I59" s="35"/>
      <c r="J59" s="35"/>
      <c r="K59" s="35"/>
      <c r="L59" s="35"/>
      <c r="M59" s="35"/>
      <c r="N59" s="35"/>
      <c r="O59" s="35" t="s">
        <v>2337</v>
      </c>
    </row>
    <row r="60" spans="1:15" ht="132.94999999999999" customHeight="1">
      <c r="A60" s="35" t="s">
        <v>1687</v>
      </c>
      <c r="B60" s="35" t="s">
        <v>1688</v>
      </c>
      <c r="C60" s="35" t="s">
        <v>1689</v>
      </c>
      <c r="D60" s="38" t="s">
        <v>1690</v>
      </c>
      <c r="E60" s="38" t="s">
        <v>1510</v>
      </c>
      <c r="F60" s="35" t="s">
        <v>24</v>
      </c>
      <c r="G60" s="35"/>
      <c r="H60" s="35" t="s">
        <v>1957</v>
      </c>
      <c r="I60" s="35"/>
      <c r="J60" s="35"/>
      <c r="K60" s="35"/>
      <c r="L60" s="35"/>
      <c r="M60" s="35"/>
      <c r="N60" s="35"/>
      <c r="O60" s="35" t="s">
        <v>2338</v>
      </c>
    </row>
    <row r="61" spans="1:15" ht="120" customHeight="1">
      <c r="A61" s="35" t="s">
        <v>1691</v>
      </c>
      <c r="B61" s="35" t="s">
        <v>1692</v>
      </c>
      <c r="C61" s="35" t="s">
        <v>1693</v>
      </c>
      <c r="D61" s="38" t="s">
        <v>1694</v>
      </c>
      <c r="E61" s="38" t="s">
        <v>1510</v>
      </c>
      <c r="F61" s="35" t="s">
        <v>24</v>
      </c>
      <c r="G61" s="35"/>
      <c r="H61" s="35" t="s">
        <v>1957</v>
      </c>
      <c r="I61" s="35"/>
      <c r="J61" s="35"/>
      <c r="K61" s="35"/>
      <c r="L61" s="35"/>
      <c r="M61" s="35"/>
      <c r="N61" s="35"/>
      <c r="O61" s="35" t="s">
        <v>2339</v>
      </c>
    </row>
    <row r="62" spans="1:15" ht="132.94999999999999" customHeight="1">
      <c r="A62" s="35" t="s">
        <v>1695</v>
      </c>
      <c r="B62" s="35" t="s">
        <v>1696</v>
      </c>
      <c r="C62" s="35" t="s">
        <v>1697</v>
      </c>
      <c r="D62" s="38" t="s">
        <v>1698</v>
      </c>
      <c r="E62" s="38" t="s">
        <v>1510</v>
      </c>
      <c r="F62" s="35" t="s">
        <v>24</v>
      </c>
      <c r="G62" s="35"/>
      <c r="H62" s="35" t="s">
        <v>1957</v>
      </c>
      <c r="I62" s="35"/>
      <c r="J62" s="35"/>
      <c r="K62" s="35"/>
      <c r="L62" s="35"/>
      <c r="M62" s="35"/>
      <c r="N62" s="35"/>
      <c r="O62" s="35" t="s">
        <v>2340</v>
      </c>
    </row>
    <row r="63" spans="1:15" ht="120" customHeight="1">
      <c r="A63" s="35" t="s">
        <v>1699</v>
      </c>
      <c r="B63" s="35" t="s">
        <v>1700</v>
      </c>
      <c r="C63" s="35" t="s">
        <v>1701</v>
      </c>
      <c r="D63" s="38" t="s">
        <v>1702</v>
      </c>
      <c r="E63" s="38" t="s">
        <v>1510</v>
      </c>
      <c r="F63" s="35" t="s">
        <v>24</v>
      </c>
      <c r="G63" s="35"/>
      <c r="H63" s="35" t="s">
        <v>1957</v>
      </c>
      <c r="I63" s="35"/>
      <c r="J63" s="35"/>
      <c r="K63" s="35"/>
      <c r="L63" s="35"/>
      <c r="M63" s="35"/>
      <c r="N63" s="35"/>
      <c r="O63" s="35" t="s">
        <v>2341</v>
      </c>
    </row>
  </sheetData>
  <mergeCells count="3">
    <mergeCell ref="B2:E2"/>
    <mergeCell ref="B3:E3"/>
    <mergeCell ref="B4:E4"/>
  </mergeCells>
  <dataValidations count="1">
    <dataValidation type="list" sqref="F12:F63 L12:L63 I12:I63" xr:uid="{00000000-0002-0000-0B00-000000000000}">
      <formula1>$R$2:$R$5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8"/>
  <sheetViews>
    <sheetView workbookViewId="0">
      <pane ySplit="10" topLeftCell="A11" activePane="bottomLeft" state="frozen"/>
      <selection pane="bottomLeft"/>
    </sheetView>
  </sheetViews>
  <sheetFormatPr defaultRowHeight="13.5"/>
  <cols>
    <col min="1" max="1" width="17" customWidth="1"/>
    <col min="2" max="2" width="34.5" customWidth="1"/>
    <col min="3" max="3" width="34.125" customWidth="1"/>
    <col min="4" max="4" width="34.625" customWidth="1"/>
    <col min="5" max="5" width="28.375" customWidth="1"/>
    <col min="6" max="6" width="9.375" customWidth="1"/>
    <col min="7" max="7" width="10.625" customWidth="1"/>
    <col min="8" max="8" width="7" customWidth="1"/>
    <col min="9" max="9" width="9.375" customWidth="1"/>
    <col min="10" max="10" width="10.625" customWidth="1"/>
    <col min="11" max="11" width="7" customWidth="1"/>
    <col min="12" max="12" width="9.375" customWidth="1"/>
    <col min="13" max="13" width="10.625" customWidth="1"/>
    <col min="14" max="14" width="7" customWidth="1"/>
    <col min="15" max="15" width="28.625" customWidth="1"/>
    <col min="16" max="16" width="10.125" customWidth="1"/>
    <col min="17" max="17" width="8.125" customWidth="1"/>
    <col min="18" max="18" width="7.625" customWidth="1"/>
  </cols>
  <sheetData>
    <row r="1" spans="1:18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7"/>
      <c r="R1" s="1"/>
    </row>
    <row r="2" spans="1:18" ht="15" customHeight="1">
      <c r="A2" s="107" t="s">
        <v>28</v>
      </c>
      <c r="B2" s="150" t="s">
        <v>1703</v>
      </c>
      <c r="C2" s="150"/>
      <c r="D2" s="150"/>
      <c r="E2" s="151"/>
      <c r="F2" s="108"/>
      <c r="G2" s="109"/>
      <c r="H2" s="9"/>
      <c r="I2" s="108"/>
      <c r="J2" s="109"/>
      <c r="K2" s="9"/>
      <c r="L2" s="108"/>
      <c r="M2" s="109"/>
      <c r="N2" s="9"/>
      <c r="O2" s="9"/>
      <c r="P2" s="9"/>
      <c r="Q2" s="28"/>
      <c r="R2" s="29" t="s">
        <v>24</v>
      </c>
    </row>
    <row r="3" spans="1:18" ht="29.1" customHeight="1">
      <c r="A3" s="110" t="s">
        <v>29</v>
      </c>
      <c r="B3" s="152" t="s">
        <v>1704</v>
      </c>
      <c r="C3" s="152"/>
      <c r="D3" s="152"/>
      <c r="E3" s="153"/>
      <c r="F3" s="108"/>
      <c r="G3" s="109"/>
      <c r="H3" s="9"/>
      <c r="I3" s="108"/>
      <c r="J3" s="109"/>
      <c r="K3" s="9"/>
      <c r="L3" s="108"/>
      <c r="M3" s="109"/>
      <c r="N3" s="9"/>
      <c r="O3" s="9"/>
      <c r="P3" s="9"/>
      <c r="Q3" s="28"/>
      <c r="R3" s="29" t="s">
        <v>25</v>
      </c>
    </row>
    <row r="4" spans="1:18" ht="18" customHeight="1">
      <c r="A4" s="110" t="s">
        <v>30</v>
      </c>
      <c r="B4" s="152">
        <f>COUNTA($F$12:$F$998)</f>
        <v>50</v>
      </c>
      <c r="C4" s="152"/>
      <c r="D4" s="152"/>
      <c r="E4" s="153"/>
      <c r="F4" s="108"/>
      <c r="G4" s="109"/>
      <c r="H4" s="9"/>
      <c r="I4" s="108"/>
      <c r="J4" s="109"/>
      <c r="K4" s="9"/>
      <c r="L4" s="108"/>
      <c r="M4" s="109"/>
      <c r="N4" s="9"/>
      <c r="O4" s="9"/>
      <c r="P4" s="9"/>
      <c r="Q4" s="28"/>
      <c r="R4" s="29" t="s">
        <v>26</v>
      </c>
    </row>
    <row r="5" spans="1:18" ht="19.5" customHeight="1">
      <c r="A5" s="111" t="s">
        <v>31</v>
      </c>
      <c r="B5" s="112" t="s">
        <v>24</v>
      </c>
      <c r="C5" s="112" t="s">
        <v>25</v>
      </c>
      <c r="D5" s="112" t="s">
        <v>26</v>
      </c>
      <c r="E5" s="113" t="s">
        <v>92</v>
      </c>
      <c r="F5" s="65"/>
      <c r="G5" s="65"/>
      <c r="H5" s="30"/>
      <c r="I5" s="65"/>
      <c r="J5" s="65"/>
      <c r="K5" s="30"/>
      <c r="L5" s="65"/>
      <c r="M5" s="65"/>
      <c r="N5" s="30"/>
      <c r="O5" s="30"/>
      <c r="P5" s="30"/>
      <c r="Q5" s="31"/>
      <c r="R5" s="29" t="s">
        <v>92</v>
      </c>
    </row>
    <row r="6" spans="1:18" ht="15" customHeight="1">
      <c r="A6" s="111" t="s">
        <v>32</v>
      </c>
      <c r="B6" s="114">
        <f>COUNTIF($F$12:$F$998,B$5)</f>
        <v>0</v>
      </c>
      <c r="C6" s="114">
        <f>COUNTIF($F$12:$F$998,C$5)</f>
        <v>0</v>
      </c>
      <c r="D6" s="114">
        <f>COUNTIF($F$12:$F$998,D$5)</f>
        <v>50</v>
      </c>
      <c r="E6" s="115">
        <f>COUNTIF($F$12:$F$998,E$5)</f>
        <v>0</v>
      </c>
      <c r="F6" s="66"/>
      <c r="G6" s="66"/>
      <c r="H6" s="30"/>
      <c r="I6" s="66"/>
      <c r="J6" s="66"/>
      <c r="K6" s="30"/>
      <c r="L6" s="66"/>
      <c r="M6" s="66"/>
      <c r="N6" s="30"/>
      <c r="O6" s="30"/>
      <c r="P6" s="30"/>
      <c r="Q6" s="31"/>
      <c r="R6" s="29"/>
    </row>
    <row r="7" spans="1:18" ht="15" customHeight="1">
      <c r="A7" s="111" t="s">
        <v>33</v>
      </c>
      <c r="B7" s="114">
        <f>COUNTIF($I$12:$I$998,B$5)</f>
        <v>0</v>
      </c>
      <c r="C7" s="114">
        <f>COUNTIF($I$12:$I$998,C$5)</f>
        <v>0</v>
      </c>
      <c r="D7" s="114">
        <f>COUNTIF($I$12:$I$998,D$5)</f>
        <v>0</v>
      </c>
      <c r="E7" s="115">
        <f>COUNTIF($I$12:$I$998,E$5)</f>
        <v>0</v>
      </c>
      <c r="F7" s="66"/>
      <c r="G7" s="66"/>
      <c r="H7" s="30"/>
      <c r="I7" s="66"/>
      <c r="J7" s="66"/>
      <c r="K7" s="30"/>
      <c r="L7" s="66"/>
      <c r="M7" s="66"/>
      <c r="N7" s="30"/>
      <c r="O7" s="30"/>
      <c r="P7" s="30"/>
      <c r="Q7" s="31"/>
      <c r="R7" s="29"/>
    </row>
    <row r="8" spans="1:18" ht="15" customHeight="1">
      <c r="A8" s="116" t="s">
        <v>34</v>
      </c>
      <c r="B8" s="117">
        <f>COUNTIF($L$12:$L$998,B$5)</f>
        <v>0</v>
      </c>
      <c r="C8" s="117">
        <f>COUNTIF($L$12:$L$998,C$5)</f>
        <v>0</v>
      </c>
      <c r="D8" s="117">
        <f>COUNTIF($L$12:$L$998,D$5)</f>
        <v>0</v>
      </c>
      <c r="E8" s="118">
        <f>COUNTIF($L$12:$L$998,E$5)</f>
        <v>0</v>
      </c>
      <c r="F8" s="66"/>
      <c r="G8" s="66"/>
      <c r="H8" s="30"/>
      <c r="I8" s="66"/>
      <c r="J8" s="66"/>
      <c r="K8" s="30"/>
      <c r="L8" s="66"/>
      <c r="M8" s="66"/>
      <c r="N8" s="30"/>
      <c r="O8" s="30"/>
      <c r="P8" s="30"/>
      <c r="Q8" s="31"/>
      <c r="R8" s="29"/>
    </row>
    <row r="9" spans="1:18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  <c r="R9" s="29"/>
    </row>
    <row r="10" spans="1:18" ht="25.5" customHeight="1">
      <c r="A10" s="119" t="s">
        <v>35</v>
      </c>
      <c r="B10" s="119" t="s">
        <v>36</v>
      </c>
      <c r="C10" s="119" t="s">
        <v>37</v>
      </c>
      <c r="D10" s="119" t="s">
        <v>38</v>
      </c>
      <c r="E10" s="119" t="s">
        <v>39</v>
      </c>
      <c r="F10" s="119" t="s">
        <v>32</v>
      </c>
      <c r="G10" s="119" t="s">
        <v>40</v>
      </c>
      <c r="H10" s="119" t="s">
        <v>41</v>
      </c>
      <c r="I10" s="119" t="s">
        <v>33</v>
      </c>
      <c r="J10" s="119" t="s">
        <v>40</v>
      </c>
      <c r="K10" s="119" t="s">
        <v>41</v>
      </c>
      <c r="L10" s="119" t="s">
        <v>34</v>
      </c>
      <c r="M10" s="119" t="s">
        <v>40</v>
      </c>
      <c r="N10" s="119" t="s">
        <v>41</v>
      </c>
      <c r="O10" s="119" t="s">
        <v>42</v>
      </c>
      <c r="P10" s="29"/>
      <c r="Q10" s="120"/>
      <c r="R10" s="29"/>
    </row>
    <row r="11" spans="1:18" ht="27" customHeight="1">
      <c r="A11" s="121" t="s">
        <v>1705</v>
      </c>
      <c r="B11" s="121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29"/>
      <c r="Q11" s="124"/>
      <c r="R11" s="29"/>
    </row>
    <row r="12" spans="1:18" ht="107.1" customHeight="1">
      <c r="A12" s="35" t="s">
        <v>1706</v>
      </c>
      <c r="B12" s="35" t="s">
        <v>1707</v>
      </c>
      <c r="C12" s="35" t="s">
        <v>1708</v>
      </c>
      <c r="D12" s="38" t="s">
        <v>1709</v>
      </c>
      <c r="E12" s="38" t="s">
        <v>1710</v>
      </c>
      <c r="F12" s="35" t="s">
        <v>26</v>
      </c>
      <c r="G12" s="35"/>
      <c r="H12" s="35"/>
      <c r="I12" s="35"/>
      <c r="J12" s="35"/>
      <c r="K12" s="35"/>
      <c r="L12" s="35"/>
      <c r="M12" s="35"/>
      <c r="N12" s="35"/>
      <c r="O12" s="35" t="s">
        <v>1711</v>
      </c>
      <c r="P12" s="37"/>
      <c r="Q12" s="36"/>
      <c r="R12" s="37"/>
    </row>
    <row r="13" spans="1:18" ht="93.95" customHeight="1">
      <c r="A13" s="35" t="s">
        <v>1712</v>
      </c>
      <c r="B13" s="35" t="s">
        <v>1713</v>
      </c>
      <c r="C13" s="35" t="s">
        <v>1714</v>
      </c>
      <c r="D13" s="38" t="s">
        <v>1715</v>
      </c>
      <c r="E13" s="38" t="s">
        <v>1710</v>
      </c>
      <c r="F13" s="35" t="s">
        <v>26</v>
      </c>
      <c r="G13" s="35"/>
      <c r="H13" s="35"/>
      <c r="I13" s="35"/>
      <c r="J13" s="35"/>
      <c r="K13" s="35"/>
      <c r="L13" s="35"/>
      <c r="M13" s="35"/>
      <c r="N13" s="35"/>
      <c r="O13" s="35" t="s">
        <v>1716</v>
      </c>
      <c r="P13" s="1"/>
      <c r="Q13" s="36"/>
      <c r="R13" s="1"/>
    </row>
    <row r="14" spans="1:18" ht="107.1" customHeight="1">
      <c r="A14" s="35" t="s">
        <v>1717</v>
      </c>
      <c r="B14" s="35" t="s">
        <v>1718</v>
      </c>
      <c r="C14" s="35" t="s">
        <v>1719</v>
      </c>
      <c r="D14" s="38" t="s">
        <v>1720</v>
      </c>
      <c r="E14" s="38" t="s">
        <v>1710</v>
      </c>
      <c r="F14" s="35" t="s">
        <v>26</v>
      </c>
      <c r="G14" s="35"/>
      <c r="H14" s="35"/>
      <c r="I14" s="35"/>
      <c r="J14" s="35"/>
      <c r="K14" s="35"/>
      <c r="L14" s="35"/>
      <c r="M14" s="35"/>
      <c r="N14" s="35"/>
      <c r="O14" s="35" t="s">
        <v>1711</v>
      </c>
      <c r="P14" s="1"/>
      <c r="Q14" s="36"/>
      <c r="R14" s="1"/>
    </row>
    <row r="15" spans="1:18" ht="120" customHeight="1">
      <c r="A15" s="35" t="s">
        <v>1721</v>
      </c>
      <c r="B15" s="35" t="s">
        <v>1722</v>
      </c>
      <c r="C15" s="35" t="s">
        <v>1723</v>
      </c>
      <c r="D15" s="38" t="s">
        <v>1724</v>
      </c>
      <c r="E15" s="38" t="s">
        <v>1710</v>
      </c>
      <c r="F15" s="35" t="s">
        <v>26</v>
      </c>
      <c r="G15" s="35"/>
      <c r="H15" s="35"/>
      <c r="I15" s="35"/>
      <c r="J15" s="35"/>
      <c r="K15" s="35"/>
      <c r="L15" s="35"/>
      <c r="M15" s="35"/>
      <c r="N15" s="35"/>
      <c r="O15" s="35" t="s">
        <v>1711</v>
      </c>
      <c r="P15" s="29"/>
      <c r="Q15" s="124"/>
      <c r="R15" s="29"/>
    </row>
    <row r="16" spans="1:18" ht="93.95" customHeight="1">
      <c r="A16" s="35" t="s">
        <v>1725</v>
      </c>
      <c r="B16" s="35" t="s">
        <v>1726</v>
      </c>
      <c r="C16" s="35" t="s">
        <v>1727</v>
      </c>
      <c r="D16" s="38" t="s">
        <v>1728</v>
      </c>
      <c r="E16" s="38" t="s">
        <v>1710</v>
      </c>
      <c r="F16" s="35" t="s">
        <v>26</v>
      </c>
      <c r="G16" s="35"/>
      <c r="H16" s="35"/>
      <c r="I16" s="35"/>
      <c r="J16" s="35"/>
      <c r="K16" s="35"/>
      <c r="L16" s="35"/>
      <c r="M16" s="35"/>
      <c r="N16" s="35"/>
      <c r="O16" s="35" t="s">
        <v>1729</v>
      </c>
      <c r="P16" s="1"/>
      <c r="Q16" s="36"/>
      <c r="R16" s="1"/>
    </row>
    <row r="17" spans="1:18" ht="107.1" customHeight="1">
      <c r="A17" s="35" t="s">
        <v>1730</v>
      </c>
      <c r="B17" s="35" t="s">
        <v>1731</v>
      </c>
      <c r="C17" s="35" t="s">
        <v>1732</v>
      </c>
      <c r="D17" s="38" t="s">
        <v>1733</v>
      </c>
      <c r="E17" s="38" t="s">
        <v>1710</v>
      </c>
      <c r="F17" s="35" t="s">
        <v>26</v>
      </c>
      <c r="G17" s="35"/>
      <c r="H17" s="35"/>
      <c r="I17" s="35"/>
      <c r="J17" s="35"/>
      <c r="K17" s="35"/>
      <c r="L17" s="35"/>
      <c r="M17" s="35"/>
      <c r="N17" s="35"/>
      <c r="O17" s="35" t="s">
        <v>1734</v>
      </c>
      <c r="P17" s="1"/>
      <c r="Q17" s="27"/>
      <c r="R17" s="1"/>
    </row>
    <row r="18" spans="1:18" ht="107.1" customHeight="1">
      <c r="A18" s="35" t="s">
        <v>1735</v>
      </c>
      <c r="B18" s="35" t="s">
        <v>1736</v>
      </c>
      <c r="C18" s="35" t="s">
        <v>1737</v>
      </c>
      <c r="D18" s="38" t="s">
        <v>1738</v>
      </c>
      <c r="E18" s="38" t="s">
        <v>1710</v>
      </c>
      <c r="F18" s="35" t="s">
        <v>26</v>
      </c>
      <c r="G18" s="35"/>
      <c r="H18" s="35"/>
      <c r="I18" s="35"/>
      <c r="J18" s="35"/>
      <c r="K18" s="35"/>
      <c r="L18" s="35"/>
      <c r="M18" s="35"/>
      <c r="N18" s="35"/>
      <c r="O18" s="35" t="s">
        <v>1716</v>
      </c>
      <c r="P18" s="29"/>
      <c r="Q18" s="124"/>
      <c r="R18" s="29"/>
    </row>
    <row r="19" spans="1:18" ht="27" customHeight="1">
      <c r="A19" s="121" t="s">
        <v>1739</v>
      </c>
      <c r="B19" s="121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3"/>
      <c r="P19" s="1"/>
      <c r="Q19" s="36"/>
      <c r="R19" s="1"/>
    </row>
    <row r="20" spans="1:18" ht="93.95" customHeight="1">
      <c r="A20" s="35" t="s">
        <v>1740</v>
      </c>
      <c r="B20" s="35" t="s">
        <v>1741</v>
      </c>
      <c r="C20" s="35" t="s">
        <v>1742</v>
      </c>
      <c r="D20" s="38" t="s">
        <v>1743</v>
      </c>
      <c r="E20" s="38" t="s">
        <v>1744</v>
      </c>
      <c r="F20" s="35" t="s">
        <v>26</v>
      </c>
      <c r="G20" s="35"/>
      <c r="H20" s="35"/>
      <c r="I20" s="35"/>
      <c r="J20" s="35"/>
      <c r="K20" s="35"/>
      <c r="L20" s="35"/>
      <c r="M20" s="35"/>
      <c r="N20" s="35"/>
      <c r="O20" s="35" t="s">
        <v>1711</v>
      </c>
    </row>
    <row r="21" spans="1:18" ht="107.1" customHeight="1">
      <c r="A21" s="35" t="s">
        <v>1745</v>
      </c>
      <c r="B21" s="35" t="s">
        <v>1746</v>
      </c>
      <c r="C21" s="35" t="s">
        <v>1747</v>
      </c>
      <c r="D21" s="38" t="s">
        <v>1748</v>
      </c>
      <c r="E21" s="38" t="s">
        <v>1744</v>
      </c>
      <c r="F21" s="35" t="s">
        <v>26</v>
      </c>
      <c r="G21" s="35"/>
      <c r="H21" s="35"/>
      <c r="I21" s="35"/>
      <c r="J21" s="35"/>
      <c r="K21" s="35"/>
      <c r="L21" s="35"/>
      <c r="M21" s="35"/>
      <c r="N21" s="35"/>
      <c r="O21" s="35" t="s">
        <v>1749</v>
      </c>
    </row>
    <row r="22" spans="1:18" ht="93.95" customHeight="1">
      <c r="A22" s="35" t="s">
        <v>1750</v>
      </c>
      <c r="B22" s="35" t="s">
        <v>1751</v>
      </c>
      <c r="C22" s="35" t="s">
        <v>1752</v>
      </c>
      <c r="D22" s="38" t="s">
        <v>1753</v>
      </c>
      <c r="E22" s="38" t="s">
        <v>1744</v>
      </c>
      <c r="F22" s="35" t="s">
        <v>26</v>
      </c>
      <c r="G22" s="35"/>
      <c r="H22" s="35"/>
      <c r="I22" s="35"/>
      <c r="J22" s="35"/>
      <c r="K22" s="35"/>
      <c r="L22" s="35"/>
      <c r="M22" s="35"/>
      <c r="N22" s="35"/>
      <c r="O22" s="35" t="s">
        <v>1749</v>
      </c>
    </row>
    <row r="23" spans="1:18" ht="107.1" customHeight="1">
      <c r="A23" s="35" t="s">
        <v>1754</v>
      </c>
      <c r="B23" s="35" t="s">
        <v>1755</v>
      </c>
      <c r="C23" s="35" t="s">
        <v>1756</v>
      </c>
      <c r="D23" s="38" t="s">
        <v>1757</v>
      </c>
      <c r="E23" s="38" t="s">
        <v>1744</v>
      </c>
      <c r="F23" s="35" t="s">
        <v>26</v>
      </c>
      <c r="G23" s="35"/>
      <c r="H23" s="35"/>
      <c r="I23" s="35"/>
      <c r="J23" s="35"/>
      <c r="K23" s="35"/>
      <c r="L23" s="35"/>
      <c r="M23" s="35"/>
      <c r="N23" s="35"/>
      <c r="O23" s="35" t="s">
        <v>1758</v>
      </c>
    </row>
    <row r="24" spans="1:18" ht="93.95" customHeight="1">
      <c r="A24" s="35" t="s">
        <v>1759</v>
      </c>
      <c r="B24" s="35" t="s">
        <v>1760</v>
      </c>
      <c r="C24" s="35" t="s">
        <v>1761</v>
      </c>
      <c r="D24" s="38" t="s">
        <v>1762</v>
      </c>
      <c r="E24" s="38" t="s">
        <v>1744</v>
      </c>
      <c r="F24" s="35" t="s">
        <v>26</v>
      </c>
      <c r="G24" s="35"/>
      <c r="H24" s="35"/>
      <c r="I24" s="35"/>
      <c r="J24" s="35"/>
      <c r="K24" s="35"/>
      <c r="L24" s="35"/>
      <c r="M24" s="35"/>
      <c r="N24" s="35"/>
      <c r="O24" s="35" t="s">
        <v>1763</v>
      </c>
    </row>
    <row r="25" spans="1:18" ht="120" customHeight="1">
      <c r="A25" s="35" t="s">
        <v>1764</v>
      </c>
      <c r="B25" s="35" t="s">
        <v>1765</v>
      </c>
      <c r="C25" s="35" t="s">
        <v>1766</v>
      </c>
      <c r="D25" s="38" t="s">
        <v>1767</v>
      </c>
      <c r="E25" s="38" t="s">
        <v>1744</v>
      </c>
      <c r="F25" s="35" t="s">
        <v>26</v>
      </c>
      <c r="G25" s="35"/>
      <c r="H25" s="35"/>
      <c r="I25" s="35"/>
      <c r="J25" s="35"/>
      <c r="K25" s="35"/>
      <c r="L25" s="35"/>
      <c r="M25" s="35"/>
      <c r="N25" s="35"/>
      <c r="O25" s="35" t="s">
        <v>1768</v>
      </c>
    </row>
    <row r="26" spans="1:18" ht="27" customHeight="1">
      <c r="A26" s="121" t="s">
        <v>1769</v>
      </c>
      <c r="B26" s="121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3"/>
    </row>
    <row r="27" spans="1:18" ht="107.1" customHeight="1">
      <c r="A27" s="35" t="s">
        <v>1770</v>
      </c>
      <c r="B27" s="35" t="s">
        <v>1771</v>
      </c>
      <c r="C27" s="35" t="s">
        <v>1772</v>
      </c>
      <c r="D27" s="38" t="s">
        <v>1773</v>
      </c>
      <c r="E27" s="38" t="s">
        <v>1774</v>
      </c>
      <c r="F27" s="35" t="s">
        <v>26</v>
      </c>
      <c r="G27" s="35"/>
      <c r="H27" s="35"/>
      <c r="I27" s="35"/>
      <c r="J27" s="35"/>
      <c r="K27" s="35"/>
      <c r="L27" s="35"/>
      <c r="M27" s="35"/>
      <c r="N27" s="35"/>
      <c r="O27" s="35" t="s">
        <v>1768</v>
      </c>
    </row>
    <row r="28" spans="1:18" ht="107.1" customHeight="1">
      <c r="A28" s="35" t="s">
        <v>1775</v>
      </c>
      <c r="B28" s="35" t="s">
        <v>1776</v>
      </c>
      <c r="C28" s="35" t="s">
        <v>1777</v>
      </c>
      <c r="D28" s="38" t="s">
        <v>1778</v>
      </c>
      <c r="E28" s="38" t="s">
        <v>1774</v>
      </c>
      <c r="F28" s="35" t="s">
        <v>26</v>
      </c>
      <c r="G28" s="35"/>
      <c r="H28" s="35"/>
      <c r="I28" s="35"/>
      <c r="J28" s="35"/>
      <c r="K28" s="35"/>
      <c r="L28" s="35"/>
      <c r="M28" s="35"/>
      <c r="N28" s="35"/>
      <c r="O28" s="35" t="s">
        <v>1768</v>
      </c>
    </row>
    <row r="29" spans="1:18" ht="107.1" customHeight="1">
      <c r="A29" s="35" t="s">
        <v>1779</v>
      </c>
      <c r="B29" s="35" t="s">
        <v>1780</v>
      </c>
      <c r="C29" s="35" t="s">
        <v>1781</v>
      </c>
      <c r="D29" s="38" t="s">
        <v>1782</v>
      </c>
      <c r="E29" s="38" t="s">
        <v>1774</v>
      </c>
      <c r="F29" s="35" t="s">
        <v>26</v>
      </c>
      <c r="G29" s="35"/>
      <c r="H29" s="35"/>
      <c r="I29" s="35"/>
      <c r="J29" s="35"/>
      <c r="K29" s="35"/>
      <c r="L29" s="35"/>
      <c r="M29" s="35"/>
      <c r="N29" s="35"/>
      <c r="O29" s="35" t="s">
        <v>1783</v>
      </c>
    </row>
    <row r="30" spans="1:18" ht="93.95" customHeight="1">
      <c r="A30" s="35" t="s">
        <v>1784</v>
      </c>
      <c r="B30" s="35" t="s">
        <v>1785</v>
      </c>
      <c r="C30" s="35" t="s">
        <v>1786</v>
      </c>
      <c r="D30" s="38" t="s">
        <v>1787</v>
      </c>
      <c r="E30" s="38" t="s">
        <v>1774</v>
      </c>
      <c r="F30" s="35" t="s">
        <v>26</v>
      </c>
      <c r="G30" s="35"/>
      <c r="H30" s="35"/>
      <c r="I30" s="35"/>
      <c r="J30" s="35"/>
      <c r="K30" s="35"/>
      <c r="L30" s="35"/>
      <c r="M30" s="35"/>
      <c r="N30" s="35"/>
      <c r="O30" s="35" t="s">
        <v>1788</v>
      </c>
    </row>
    <row r="31" spans="1:18" ht="107.1" customHeight="1">
      <c r="A31" s="35" t="s">
        <v>1789</v>
      </c>
      <c r="B31" s="35" t="s">
        <v>1790</v>
      </c>
      <c r="C31" s="35" t="s">
        <v>1791</v>
      </c>
      <c r="D31" s="38" t="s">
        <v>1792</v>
      </c>
      <c r="E31" s="38" t="s">
        <v>1774</v>
      </c>
      <c r="F31" s="35" t="s">
        <v>26</v>
      </c>
      <c r="G31" s="35"/>
      <c r="H31" s="35"/>
      <c r="I31" s="35"/>
      <c r="J31" s="35"/>
      <c r="K31" s="35"/>
      <c r="L31" s="35"/>
      <c r="M31" s="35"/>
      <c r="N31" s="35"/>
      <c r="O31" s="35" t="s">
        <v>1793</v>
      </c>
    </row>
    <row r="32" spans="1:18" ht="27" customHeight="1">
      <c r="A32" s="121" t="s">
        <v>1794</v>
      </c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3"/>
    </row>
    <row r="33" spans="1:15" ht="107.1" customHeight="1">
      <c r="A33" s="35" t="s">
        <v>1795</v>
      </c>
      <c r="B33" s="35" t="s">
        <v>1796</v>
      </c>
      <c r="C33" s="35" t="s">
        <v>1797</v>
      </c>
      <c r="D33" s="38" t="s">
        <v>1798</v>
      </c>
      <c r="E33" s="38" t="s">
        <v>1799</v>
      </c>
      <c r="F33" s="35" t="s">
        <v>26</v>
      </c>
      <c r="G33" s="35"/>
      <c r="H33" s="35"/>
      <c r="I33" s="35"/>
      <c r="J33" s="35"/>
      <c r="K33" s="35"/>
      <c r="L33" s="35"/>
      <c r="M33" s="35"/>
      <c r="N33" s="35"/>
      <c r="O33" s="35" t="s">
        <v>1800</v>
      </c>
    </row>
    <row r="34" spans="1:15" ht="107.1" customHeight="1">
      <c r="A34" s="35" t="s">
        <v>1801</v>
      </c>
      <c r="B34" s="35" t="s">
        <v>1802</v>
      </c>
      <c r="C34" s="35" t="s">
        <v>1803</v>
      </c>
      <c r="D34" s="38" t="s">
        <v>1804</v>
      </c>
      <c r="E34" s="38" t="s">
        <v>1799</v>
      </c>
      <c r="F34" s="35" t="s">
        <v>26</v>
      </c>
      <c r="G34" s="35"/>
      <c r="H34" s="35"/>
      <c r="I34" s="35"/>
      <c r="J34" s="35"/>
      <c r="K34" s="35"/>
      <c r="L34" s="35"/>
      <c r="M34" s="35"/>
      <c r="N34" s="35"/>
      <c r="O34" s="35" t="s">
        <v>1800</v>
      </c>
    </row>
    <row r="35" spans="1:15" ht="93.95" customHeight="1">
      <c r="A35" s="35" t="s">
        <v>1805</v>
      </c>
      <c r="B35" s="35" t="s">
        <v>1806</v>
      </c>
      <c r="C35" s="35" t="s">
        <v>1807</v>
      </c>
      <c r="D35" s="38" t="s">
        <v>1808</v>
      </c>
      <c r="E35" s="38" t="s">
        <v>1799</v>
      </c>
      <c r="F35" s="35" t="s">
        <v>26</v>
      </c>
      <c r="G35" s="35"/>
      <c r="H35" s="35"/>
      <c r="I35" s="35"/>
      <c r="J35" s="35"/>
      <c r="K35" s="35"/>
      <c r="L35" s="35"/>
      <c r="M35" s="35"/>
      <c r="N35" s="35"/>
      <c r="O35" s="35" t="s">
        <v>1809</v>
      </c>
    </row>
    <row r="36" spans="1:15" ht="107.1" customHeight="1">
      <c r="A36" s="35" t="s">
        <v>1810</v>
      </c>
      <c r="B36" s="35" t="s">
        <v>1811</v>
      </c>
      <c r="C36" s="35" t="s">
        <v>1812</v>
      </c>
      <c r="D36" s="38" t="s">
        <v>1813</v>
      </c>
      <c r="E36" s="38" t="s">
        <v>1799</v>
      </c>
      <c r="F36" s="35" t="s">
        <v>26</v>
      </c>
      <c r="G36" s="35"/>
      <c r="H36" s="35"/>
      <c r="I36" s="35"/>
      <c r="J36" s="35"/>
      <c r="K36" s="35"/>
      <c r="L36" s="35"/>
      <c r="M36" s="35"/>
      <c r="N36" s="35"/>
      <c r="O36" s="35" t="s">
        <v>1814</v>
      </c>
    </row>
    <row r="37" spans="1:15" ht="107.1" customHeight="1">
      <c r="A37" s="35" t="s">
        <v>1815</v>
      </c>
      <c r="B37" s="35" t="s">
        <v>1816</v>
      </c>
      <c r="C37" s="35" t="s">
        <v>1817</v>
      </c>
      <c r="D37" s="38" t="s">
        <v>1818</v>
      </c>
      <c r="E37" s="38" t="s">
        <v>1799</v>
      </c>
      <c r="F37" s="35" t="s">
        <v>26</v>
      </c>
      <c r="G37" s="35"/>
      <c r="H37" s="35"/>
      <c r="I37" s="35"/>
      <c r="J37" s="35"/>
      <c r="K37" s="35"/>
      <c r="L37" s="35"/>
      <c r="M37" s="35"/>
      <c r="N37" s="35"/>
      <c r="O37" s="35" t="s">
        <v>1819</v>
      </c>
    </row>
    <row r="38" spans="1:15" ht="93.95" customHeight="1">
      <c r="A38" s="35" t="s">
        <v>1820</v>
      </c>
      <c r="B38" s="35" t="s">
        <v>1821</v>
      </c>
      <c r="C38" s="35" t="s">
        <v>1822</v>
      </c>
      <c r="D38" s="38" t="s">
        <v>1823</v>
      </c>
      <c r="E38" s="38" t="s">
        <v>1799</v>
      </c>
      <c r="F38" s="35" t="s">
        <v>26</v>
      </c>
      <c r="G38" s="35"/>
      <c r="H38" s="35"/>
      <c r="I38" s="35"/>
      <c r="J38" s="35"/>
      <c r="K38" s="35"/>
      <c r="L38" s="35"/>
      <c r="M38" s="35"/>
      <c r="N38" s="35"/>
      <c r="O38" s="35" t="s">
        <v>1824</v>
      </c>
    </row>
    <row r="39" spans="1:15" ht="93.95" customHeight="1">
      <c r="A39" s="35" t="s">
        <v>1825</v>
      </c>
      <c r="B39" s="35" t="s">
        <v>1826</v>
      </c>
      <c r="C39" s="35" t="s">
        <v>1827</v>
      </c>
      <c r="D39" s="38" t="s">
        <v>1828</v>
      </c>
      <c r="E39" s="38" t="s">
        <v>1799</v>
      </c>
      <c r="F39" s="35" t="s">
        <v>26</v>
      </c>
      <c r="G39" s="35"/>
      <c r="H39" s="35"/>
      <c r="I39" s="35"/>
      <c r="J39" s="35"/>
      <c r="K39" s="35"/>
      <c r="L39" s="35"/>
      <c r="M39" s="35"/>
      <c r="N39" s="35"/>
      <c r="O39" s="35" t="s">
        <v>1809</v>
      </c>
    </row>
    <row r="40" spans="1:15" ht="93.95" customHeight="1">
      <c r="A40" s="35" t="s">
        <v>1829</v>
      </c>
      <c r="B40" s="35" t="s">
        <v>1830</v>
      </c>
      <c r="C40" s="35" t="s">
        <v>1831</v>
      </c>
      <c r="D40" s="38" t="s">
        <v>1832</v>
      </c>
      <c r="E40" s="38" t="s">
        <v>1799</v>
      </c>
      <c r="F40" s="35" t="s">
        <v>26</v>
      </c>
      <c r="G40" s="35"/>
      <c r="H40" s="35"/>
      <c r="I40" s="35"/>
      <c r="J40" s="35"/>
      <c r="K40" s="35"/>
      <c r="L40" s="35"/>
      <c r="M40" s="35"/>
      <c r="N40" s="35"/>
      <c r="O40" s="35" t="s">
        <v>1833</v>
      </c>
    </row>
    <row r="41" spans="1:15" ht="107.1" customHeight="1">
      <c r="A41" s="35" t="s">
        <v>1834</v>
      </c>
      <c r="B41" s="35" t="s">
        <v>1835</v>
      </c>
      <c r="C41" s="35" t="s">
        <v>1836</v>
      </c>
      <c r="D41" s="38" t="s">
        <v>1837</v>
      </c>
      <c r="E41" s="38" t="s">
        <v>1799</v>
      </c>
      <c r="F41" s="35" t="s">
        <v>26</v>
      </c>
      <c r="G41" s="35"/>
      <c r="H41" s="35"/>
      <c r="I41" s="35"/>
      <c r="J41" s="35"/>
      <c r="K41" s="35"/>
      <c r="L41" s="35"/>
      <c r="M41" s="35"/>
      <c r="N41" s="35"/>
      <c r="O41" s="35" t="s">
        <v>1838</v>
      </c>
    </row>
    <row r="42" spans="1:15" ht="27" customHeight="1">
      <c r="A42" s="121" t="s">
        <v>1839</v>
      </c>
      <c r="B42" s="121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3"/>
    </row>
    <row r="43" spans="1:15" ht="107.1" customHeight="1">
      <c r="A43" s="35" t="s">
        <v>1840</v>
      </c>
      <c r="B43" s="35" t="s">
        <v>1841</v>
      </c>
      <c r="C43" s="35" t="s">
        <v>1842</v>
      </c>
      <c r="D43" s="38" t="s">
        <v>1843</v>
      </c>
      <c r="E43" s="38" t="s">
        <v>1844</v>
      </c>
      <c r="F43" s="35" t="s">
        <v>26</v>
      </c>
      <c r="G43" s="35"/>
      <c r="H43" s="35"/>
      <c r="I43" s="35"/>
      <c r="J43" s="35"/>
      <c r="K43" s="35"/>
      <c r="L43" s="35"/>
      <c r="M43" s="35"/>
      <c r="N43" s="35"/>
      <c r="O43" s="35" t="s">
        <v>1845</v>
      </c>
    </row>
    <row r="44" spans="1:15" ht="107.1" customHeight="1">
      <c r="A44" s="35" t="s">
        <v>1846</v>
      </c>
      <c r="B44" s="35" t="s">
        <v>1847</v>
      </c>
      <c r="C44" s="35" t="s">
        <v>1848</v>
      </c>
      <c r="D44" s="38" t="s">
        <v>1849</v>
      </c>
      <c r="E44" s="38" t="s">
        <v>1844</v>
      </c>
      <c r="F44" s="35" t="s">
        <v>26</v>
      </c>
      <c r="G44" s="35"/>
      <c r="H44" s="35"/>
      <c r="I44" s="35"/>
      <c r="J44" s="35"/>
      <c r="K44" s="35"/>
      <c r="L44" s="35"/>
      <c r="M44" s="35"/>
      <c r="N44" s="35"/>
      <c r="O44" s="35" t="s">
        <v>1850</v>
      </c>
    </row>
    <row r="45" spans="1:15" ht="93.95" customHeight="1">
      <c r="A45" s="35" t="s">
        <v>1851</v>
      </c>
      <c r="B45" s="35" t="s">
        <v>1852</v>
      </c>
      <c r="C45" s="35" t="s">
        <v>1853</v>
      </c>
      <c r="D45" s="38" t="s">
        <v>1854</v>
      </c>
      <c r="E45" s="38" t="s">
        <v>1844</v>
      </c>
      <c r="F45" s="35" t="s">
        <v>26</v>
      </c>
      <c r="G45" s="35"/>
      <c r="H45" s="35"/>
      <c r="I45" s="35"/>
      <c r="J45" s="35"/>
      <c r="K45" s="35"/>
      <c r="L45" s="35"/>
      <c r="M45" s="35"/>
      <c r="N45" s="35"/>
      <c r="O45" s="35" t="s">
        <v>1855</v>
      </c>
    </row>
    <row r="46" spans="1:15" ht="132.94999999999999" customHeight="1">
      <c r="A46" s="35" t="s">
        <v>1856</v>
      </c>
      <c r="B46" s="35" t="s">
        <v>1857</v>
      </c>
      <c r="C46" s="35" t="s">
        <v>1858</v>
      </c>
      <c r="D46" s="38" t="s">
        <v>1859</v>
      </c>
      <c r="E46" s="38" t="s">
        <v>1844</v>
      </c>
      <c r="F46" s="35" t="s">
        <v>26</v>
      </c>
      <c r="G46" s="35"/>
      <c r="H46" s="35"/>
      <c r="I46" s="35"/>
      <c r="J46" s="35"/>
      <c r="K46" s="35"/>
      <c r="L46" s="35"/>
      <c r="M46" s="35"/>
      <c r="N46" s="35"/>
      <c r="O46" s="35" t="s">
        <v>1860</v>
      </c>
    </row>
    <row r="47" spans="1:15" ht="132.94999999999999" customHeight="1">
      <c r="A47" s="35" t="s">
        <v>1861</v>
      </c>
      <c r="B47" s="35" t="s">
        <v>1862</v>
      </c>
      <c r="C47" s="35" t="s">
        <v>1863</v>
      </c>
      <c r="D47" s="38" t="s">
        <v>1864</v>
      </c>
      <c r="E47" s="38" t="s">
        <v>1844</v>
      </c>
      <c r="F47" s="35" t="s">
        <v>26</v>
      </c>
      <c r="G47" s="35"/>
      <c r="H47" s="35"/>
      <c r="I47" s="35"/>
      <c r="J47" s="35"/>
      <c r="K47" s="35"/>
      <c r="L47" s="35"/>
      <c r="M47" s="35"/>
      <c r="N47" s="35"/>
      <c r="O47" s="35" t="s">
        <v>1865</v>
      </c>
    </row>
    <row r="48" spans="1:15" ht="132.94999999999999" customHeight="1">
      <c r="A48" s="35" t="s">
        <v>1866</v>
      </c>
      <c r="B48" s="35" t="s">
        <v>1867</v>
      </c>
      <c r="C48" s="35" t="s">
        <v>1868</v>
      </c>
      <c r="D48" s="38" t="s">
        <v>1869</v>
      </c>
      <c r="E48" s="38" t="s">
        <v>1844</v>
      </c>
      <c r="F48" s="35" t="s">
        <v>26</v>
      </c>
      <c r="G48" s="35"/>
      <c r="H48" s="35"/>
      <c r="I48" s="35"/>
      <c r="J48" s="35"/>
      <c r="K48" s="35"/>
      <c r="L48" s="35"/>
      <c r="M48" s="35"/>
      <c r="N48" s="35"/>
      <c r="O48" s="35" t="s">
        <v>1870</v>
      </c>
    </row>
    <row r="49" spans="1:15" ht="27" customHeight="1">
      <c r="A49" s="121" t="s">
        <v>1871</v>
      </c>
      <c r="B49" s="121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3"/>
    </row>
    <row r="50" spans="1:15" ht="132.94999999999999" customHeight="1">
      <c r="A50" s="35" t="s">
        <v>1872</v>
      </c>
      <c r="B50" s="35" t="s">
        <v>1873</v>
      </c>
      <c r="C50" s="35" t="s">
        <v>1874</v>
      </c>
      <c r="D50" s="38" t="s">
        <v>1875</v>
      </c>
      <c r="E50" s="38" t="s">
        <v>1876</v>
      </c>
      <c r="F50" s="35" t="s">
        <v>26</v>
      </c>
      <c r="G50" s="35"/>
      <c r="H50" s="35"/>
      <c r="I50" s="35"/>
      <c r="J50" s="35"/>
      <c r="K50" s="35"/>
      <c r="L50" s="35"/>
      <c r="M50" s="35"/>
      <c r="N50" s="35"/>
      <c r="O50" s="35" t="s">
        <v>1877</v>
      </c>
    </row>
    <row r="51" spans="1:15" ht="132.94999999999999" customHeight="1">
      <c r="A51" s="35" t="s">
        <v>1878</v>
      </c>
      <c r="B51" s="35" t="s">
        <v>1879</v>
      </c>
      <c r="C51" s="35" t="s">
        <v>1880</v>
      </c>
      <c r="D51" s="38" t="s">
        <v>1881</v>
      </c>
      <c r="E51" s="38" t="s">
        <v>1876</v>
      </c>
      <c r="F51" s="35" t="s">
        <v>26</v>
      </c>
      <c r="G51" s="35"/>
      <c r="H51" s="35"/>
      <c r="I51" s="35"/>
      <c r="J51" s="35"/>
      <c r="K51" s="35"/>
      <c r="L51" s="35"/>
      <c r="M51" s="35"/>
      <c r="N51" s="35"/>
      <c r="O51" s="35" t="s">
        <v>1882</v>
      </c>
    </row>
    <row r="52" spans="1:15" ht="132.94999999999999" customHeight="1">
      <c r="A52" s="35" t="s">
        <v>1883</v>
      </c>
      <c r="B52" s="35" t="s">
        <v>1884</v>
      </c>
      <c r="C52" s="35" t="s">
        <v>1885</v>
      </c>
      <c r="D52" s="38" t="s">
        <v>1886</v>
      </c>
      <c r="E52" s="38" t="s">
        <v>1876</v>
      </c>
      <c r="F52" s="35" t="s">
        <v>26</v>
      </c>
      <c r="G52" s="35"/>
      <c r="H52" s="35"/>
      <c r="I52" s="35"/>
      <c r="J52" s="35"/>
      <c r="K52" s="35"/>
      <c r="L52" s="35"/>
      <c r="M52" s="35"/>
      <c r="N52" s="35"/>
      <c r="O52" s="35" t="s">
        <v>1882</v>
      </c>
    </row>
    <row r="53" spans="1:15" ht="132.94999999999999" customHeight="1">
      <c r="A53" s="35" t="s">
        <v>1887</v>
      </c>
      <c r="B53" s="35" t="s">
        <v>1888</v>
      </c>
      <c r="C53" s="35" t="s">
        <v>1889</v>
      </c>
      <c r="D53" s="38" t="s">
        <v>1890</v>
      </c>
      <c r="E53" s="38" t="s">
        <v>1876</v>
      </c>
      <c r="F53" s="35" t="s">
        <v>26</v>
      </c>
      <c r="G53" s="35"/>
      <c r="H53" s="35"/>
      <c r="I53" s="35"/>
      <c r="J53" s="35"/>
      <c r="K53" s="35"/>
      <c r="L53" s="35"/>
      <c r="M53" s="35"/>
      <c r="N53" s="35"/>
      <c r="O53" s="35" t="s">
        <v>1882</v>
      </c>
    </row>
    <row r="54" spans="1:15" ht="107.1" customHeight="1">
      <c r="A54" s="35" t="s">
        <v>1891</v>
      </c>
      <c r="B54" s="35" t="s">
        <v>1892</v>
      </c>
      <c r="C54" s="35" t="s">
        <v>1893</v>
      </c>
      <c r="D54" s="38" t="s">
        <v>1894</v>
      </c>
      <c r="E54" s="38" t="s">
        <v>1876</v>
      </c>
      <c r="F54" s="35" t="s">
        <v>26</v>
      </c>
      <c r="G54" s="35"/>
      <c r="H54" s="35"/>
      <c r="I54" s="35"/>
      <c r="J54" s="35"/>
      <c r="K54" s="35"/>
      <c r="L54" s="35"/>
      <c r="M54" s="35"/>
      <c r="N54" s="35"/>
      <c r="O54" s="35" t="s">
        <v>1895</v>
      </c>
    </row>
    <row r="55" spans="1:15" ht="93.95" customHeight="1">
      <c r="A55" s="35" t="s">
        <v>1896</v>
      </c>
      <c r="B55" s="35" t="s">
        <v>1897</v>
      </c>
      <c r="C55" s="35" t="s">
        <v>1898</v>
      </c>
      <c r="D55" s="38" t="s">
        <v>1899</v>
      </c>
      <c r="E55" s="38" t="s">
        <v>1876</v>
      </c>
      <c r="F55" s="35" t="s">
        <v>26</v>
      </c>
      <c r="G55" s="35"/>
      <c r="H55" s="35"/>
      <c r="I55" s="35"/>
      <c r="J55" s="35"/>
      <c r="K55" s="35"/>
      <c r="L55" s="35"/>
      <c r="M55" s="35"/>
      <c r="N55" s="35"/>
      <c r="O55" s="35" t="s">
        <v>1900</v>
      </c>
    </row>
    <row r="56" spans="1:15" ht="27" customHeight="1">
      <c r="A56" s="121" t="s">
        <v>1901</v>
      </c>
      <c r="B56" s="121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3"/>
    </row>
    <row r="57" spans="1:15" ht="107.1" customHeight="1">
      <c r="A57" s="35" t="s">
        <v>1902</v>
      </c>
      <c r="B57" s="35" t="s">
        <v>1903</v>
      </c>
      <c r="C57" s="35" t="s">
        <v>1904</v>
      </c>
      <c r="D57" s="38" t="s">
        <v>1905</v>
      </c>
      <c r="E57" s="38" t="s">
        <v>1906</v>
      </c>
      <c r="F57" s="35" t="s">
        <v>26</v>
      </c>
      <c r="G57" s="35"/>
      <c r="H57" s="35"/>
      <c r="I57" s="35"/>
      <c r="J57" s="35"/>
      <c r="K57" s="35"/>
      <c r="L57" s="35"/>
      <c r="M57" s="35"/>
      <c r="N57" s="35"/>
      <c r="O57" s="35" t="s">
        <v>1768</v>
      </c>
    </row>
    <row r="58" spans="1:15" ht="107.1" customHeight="1">
      <c r="A58" s="35" t="s">
        <v>1907</v>
      </c>
      <c r="B58" s="35" t="s">
        <v>1908</v>
      </c>
      <c r="C58" s="35" t="s">
        <v>1909</v>
      </c>
      <c r="D58" s="38" t="s">
        <v>1910</v>
      </c>
      <c r="E58" s="38" t="s">
        <v>1906</v>
      </c>
      <c r="F58" s="35" t="s">
        <v>26</v>
      </c>
      <c r="G58" s="35"/>
      <c r="H58" s="35"/>
      <c r="I58" s="35"/>
      <c r="J58" s="35"/>
      <c r="K58" s="35"/>
      <c r="L58" s="35"/>
      <c r="M58" s="35"/>
      <c r="N58" s="35"/>
      <c r="O58" s="35" t="s">
        <v>1824</v>
      </c>
    </row>
    <row r="59" spans="1:15" ht="107.1" customHeight="1">
      <c r="A59" s="35" t="s">
        <v>1911</v>
      </c>
      <c r="B59" s="35" t="s">
        <v>1912</v>
      </c>
      <c r="C59" s="35" t="s">
        <v>1913</v>
      </c>
      <c r="D59" s="38" t="s">
        <v>1914</v>
      </c>
      <c r="E59" s="38" t="s">
        <v>1906</v>
      </c>
      <c r="F59" s="35" t="s">
        <v>26</v>
      </c>
      <c r="G59" s="35"/>
      <c r="H59" s="35"/>
      <c r="I59" s="35"/>
      <c r="J59" s="35"/>
      <c r="K59" s="35"/>
      <c r="L59" s="35"/>
      <c r="M59" s="35"/>
      <c r="N59" s="35"/>
      <c r="O59" s="35" t="s">
        <v>1915</v>
      </c>
    </row>
    <row r="60" spans="1:15" ht="107.1" customHeight="1">
      <c r="A60" s="35" t="s">
        <v>1916</v>
      </c>
      <c r="B60" s="35" t="s">
        <v>1917</v>
      </c>
      <c r="C60" s="35" t="s">
        <v>1918</v>
      </c>
      <c r="D60" s="38" t="s">
        <v>1919</v>
      </c>
      <c r="E60" s="38" t="s">
        <v>1906</v>
      </c>
      <c r="F60" s="35" t="s">
        <v>26</v>
      </c>
      <c r="G60" s="35"/>
      <c r="H60" s="35"/>
      <c r="I60" s="35"/>
      <c r="J60" s="35"/>
      <c r="K60" s="35"/>
      <c r="L60" s="35"/>
      <c r="M60" s="35"/>
      <c r="N60" s="35"/>
      <c r="O60" s="35" t="s">
        <v>1920</v>
      </c>
    </row>
    <row r="61" spans="1:15" ht="27" customHeight="1">
      <c r="A61" s="121" t="s">
        <v>1921</v>
      </c>
      <c r="B61" s="121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3"/>
    </row>
    <row r="62" spans="1:15" ht="107.1" customHeight="1">
      <c r="A62" s="35" t="s">
        <v>1922</v>
      </c>
      <c r="B62" s="35" t="s">
        <v>1923</v>
      </c>
      <c r="C62" s="35" t="s">
        <v>1924</v>
      </c>
      <c r="D62" s="38" t="s">
        <v>1925</v>
      </c>
      <c r="E62" s="38" t="s">
        <v>1926</v>
      </c>
      <c r="F62" s="35" t="s">
        <v>26</v>
      </c>
      <c r="G62" s="35"/>
      <c r="H62" s="35"/>
      <c r="I62" s="35"/>
      <c r="J62" s="35"/>
      <c r="K62" s="35"/>
      <c r="L62" s="35"/>
      <c r="M62" s="35"/>
      <c r="N62" s="35"/>
      <c r="O62" s="35" t="s">
        <v>1927</v>
      </c>
    </row>
    <row r="63" spans="1:15" ht="107.1" customHeight="1">
      <c r="A63" s="35" t="s">
        <v>1928</v>
      </c>
      <c r="B63" s="35" t="s">
        <v>1929</v>
      </c>
      <c r="C63" s="35" t="s">
        <v>1930</v>
      </c>
      <c r="D63" s="38" t="s">
        <v>1931</v>
      </c>
      <c r="E63" s="38" t="s">
        <v>1926</v>
      </c>
      <c r="F63" s="35" t="s">
        <v>26</v>
      </c>
      <c r="G63" s="35"/>
      <c r="H63" s="35"/>
      <c r="I63" s="35"/>
      <c r="J63" s="35"/>
      <c r="K63" s="35"/>
      <c r="L63" s="35"/>
      <c r="M63" s="35"/>
      <c r="N63" s="35"/>
      <c r="O63" s="35" t="s">
        <v>1932</v>
      </c>
    </row>
    <row r="64" spans="1:15" ht="132.94999999999999" customHeight="1">
      <c r="A64" s="35" t="s">
        <v>1933</v>
      </c>
      <c r="B64" s="35" t="s">
        <v>1934</v>
      </c>
      <c r="C64" s="35" t="s">
        <v>1935</v>
      </c>
      <c r="D64" s="38" t="s">
        <v>1936</v>
      </c>
      <c r="E64" s="38" t="s">
        <v>1926</v>
      </c>
      <c r="F64" s="35" t="s">
        <v>26</v>
      </c>
      <c r="G64" s="35"/>
      <c r="H64" s="35"/>
      <c r="I64" s="35"/>
      <c r="J64" s="35"/>
      <c r="K64" s="35"/>
      <c r="L64" s="35"/>
      <c r="M64" s="35"/>
      <c r="N64" s="35"/>
      <c r="O64" s="35" t="s">
        <v>1937</v>
      </c>
    </row>
    <row r="65" spans="1:15" ht="132.94999999999999" customHeight="1">
      <c r="A65" s="35" t="s">
        <v>1938</v>
      </c>
      <c r="B65" s="35" t="s">
        <v>1939</v>
      </c>
      <c r="C65" s="35" t="s">
        <v>1940</v>
      </c>
      <c r="D65" s="38" t="s">
        <v>1941</v>
      </c>
      <c r="E65" s="38" t="s">
        <v>1926</v>
      </c>
      <c r="F65" s="35" t="s">
        <v>26</v>
      </c>
      <c r="G65" s="35"/>
      <c r="H65" s="35"/>
      <c r="I65" s="35"/>
      <c r="J65" s="35"/>
      <c r="K65" s="35"/>
      <c r="L65" s="35"/>
      <c r="M65" s="35"/>
      <c r="N65" s="35"/>
      <c r="O65" s="35" t="s">
        <v>1942</v>
      </c>
    </row>
    <row r="66" spans="1:15" ht="132.94999999999999" customHeight="1">
      <c r="A66" s="35" t="s">
        <v>1943</v>
      </c>
      <c r="B66" s="35" t="s">
        <v>1944</v>
      </c>
      <c r="C66" s="35" t="s">
        <v>1945</v>
      </c>
      <c r="D66" s="38" t="s">
        <v>1946</v>
      </c>
      <c r="E66" s="38" t="s">
        <v>1926</v>
      </c>
      <c r="F66" s="35" t="s">
        <v>26</v>
      </c>
      <c r="G66" s="35"/>
      <c r="H66" s="35"/>
      <c r="I66" s="35"/>
      <c r="J66" s="35"/>
      <c r="K66" s="35"/>
      <c r="L66" s="35"/>
      <c r="M66" s="35"/>
      <c r="N66" s="35"/>
      <c r="O66" s="35" t="s">
        <v>1947</v>
      </c>
    </row>
    <row r="67" spans="1:15" ht="132.94999999999999" customHeight="1">
      <c r="A67" s="35" t="s">
        <v>1948</v>
      </c>
      <c r="B67" s="35" t="s">
        <v>1949</v>
      </c>
      <c r="C67" s="35" t="s">
        <v>1950</v>
      </c>
      <c r="D67" s="38" t="s">
        <v>1951</v>
      </c>
      <c r="E67" s="38" t="s">
        <v>1926</v>
      </c>
      <c r="F67" s="35" t="s">
        <v>26</v>
      </c>
      <c r="G67" s="35"/>
      <c r="H67" s="35"/>
      <c r="I67" s="35"/>
      <c r="J67" s="35"/>
      <c r="K67" s="35"/>
      <c r="L67" s="35"/>
      <c r="M67" s="35"/>
      <c r="N67" s="35"/>
      <c r="O67" s="35" t="s">
        <v>1947</v>
      </c>
    </row>
    <row r="68" spans="1:15" ht="132.94999999999999" customHeight="1">
      <c r="A68" s="35" t="s">
        <v>1952</v>
      </c>
      <c r="B68" s="35" t="s">
        <v>1953</v>
      </c>
      <c r="C68" s="35" t="s">
        <v>1954</v>
      </c>
      <c r="D68" s="38" t="s">
        <v>1955</v>
      </c>
      <c r="E68" s="38" t="s">
        <v>1926</v>
      </c>
      <c r="F68" s="35" t="s">
        <v>26</v>
      </c>
      <c r="G68" s="35"/>
      <c r="H68" s="35"/>
      <c r="I68" s="35"/>
      <c r="J68" s="35"/>
      <c r="K68" s="35"/>
      <c r="L68" s="35"/>
      <c r="M68" s="35"/>
      <c r="N68" s="35"/>
      <c r="O68" s="35" t="s">
        <v>1956</v>
      </c>
    </row>
  </sheetData>
  <mergeCells count="3">
    <mergeCell ref="B2:E2"/>
    <mergeCell ref="B3:E3"/>
    <mergeCell ref="B4:E4"/>
  </mergeCells>
  <dataValidations count="1">
    <dataValidation type="list" sqref="F12:F68 L12:L68 I12:I68" xr:uid="{00000000-0002-0000-0C00-000000000000}">
      <formula1>$R$2:$R$5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Test Cases</vt:lpstr>
      <vt:lpstr>Test Statistics</vt:lpstr>
      <vt:lpstr>Feature 1</vt:lpstr>
      <vt:lpstr>Feature 2</vt:lpstr>
      <vt:lpstr>Feature 3</vt:lpstr>
      <vt:lpstr>Feature 4</vt:lpstr>
      <vt:lpstr>Feature 5</vt:lpstr>
      <vt:lpstr>Feature 6</vt:lpstr>
      <vt:lpstr>Feature 7</vt:lpstr>
      <vt:lpstr>Feature 8</vt:lpstr>
      <vt:lpstr>Feature 9</vt:lpstr>
      <vt:lpstr>Planned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Zack Huntman</cp:lastModifiedBy>
  <dcterms:modified xsi:type="dcterms:W3CDTF">2026-10-31T02:21:34Z</dcterms:modified>
</cp:coreProperties>
</file>